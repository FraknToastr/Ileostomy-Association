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Chart1" sheetId="1" state="visible" r:id="rId3"/>
    <sheet name="Sheet1" sheetId="2" state="visible" r:id="rId4"/>
    <sheet name="Sheet2" sheetId="3" state="visible" r:id="rId5"/>
    <sheet name="Sheet3" sheetId="4" state="visible" r:id="rId6"/>
  </sheets>
  <definedNames>
    <definedName function="false" hidden="false" localSheetId="0" name="_xlnm.Print_Area" vbProcedure="false">Sheet1!$A$1:$J$535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<sst xmlns="http://schemas.openxmlformats.org/spreadsheetml/2006/main" count="1388" uniqueCount="749">
  <si>
    <t xml:space="preserve">CODE</t>
  </si>
  <si>
    <t xml:space="preserve">Description</t>
  </si>
  <si>
    <t xml:space="preserve">Co.</t>
  </si>
  <si>
    <t xml:space="preserve">PRICE</t>
  </si>
  <si>
    <t xml:space="preserve">SAMS</t>
  </si>
  <si>
    <t xml:space="preserve">TOTAL</t>
  </si>
  <si>
    <t xml:space="preserve">ACTUAL</t>
  </si>
  <si>
    <t xml:space="preserve">DIFFERENCE</t>
  </si>
  <si>
    <t xml:space="preserve">Diffence Amount</t>
  </si>
  <si>
    <t xml:space="preserve">TOTAL VALUE</t>
  </si>
  <si>
    <t xml:space="preserve">DIFF TOTAL</t>
  </si>
  <si>
    <t xml:space="preserve">TV TOTAL</t>
  </si>
  <si>
    <t xml:space="preserve">Coloplast No Sting Bar Spray</t>
  </si>
  <si>
    <t xml:space="preserve">COL</t>
  </si>
  <si>
    <t xml:space="preserve">Eakin Prot Barrier  Spray</t>
  </si>
  <si>
    <t xml:space="preserve">OG</t>
  </si>
  <si>
    <t xml:space="preserve">WBS050</t>
  </si>
  <si>
    <t xml:space="preserve">Welland No Sting Bar Spray</t>
  </si>
  <si>
    <t xml:space="preserve">Brava No-Sting Wipes</t>
  </si>
  <si>
    <t xml:space="preserve">3M No Sting Spray</t>
  </si>
  <si>
    <t xml:space="preserve">3M</t>
  </si>
  <si>
    <t xml:space="preserve">PPS1</t>
  </si>
  <si>
    <t xml:space="preserve">Salts Barrier Film Wipes</t>
  </si>
  <si>
    <t xml:space="preserve">AI</t>
  </si>
  <si>
    <t xml:space="preserve">Estenta Barrier Wipes (30)</t>
  </si>
  <si>
    <t xml:space="preserve">CC</t>
  </si>
  <si>
    <t xml:space="preserve">Hollister Skin Gel Wpes</t>
  </si>
  <si>
    <t xml:space="preserve">HOL</t>
  </si>
  <si>
    <t xml:space="preserve">Estena No Sting Spray</t>
  </si>
  <si>
    <t xml:space="preserve">Braun No Sting Bar Spray</t>
  </si>
  <si>
    <t xml:space="preserve">BB</t>
  </si>
  <si>
    <t xml:space="preserve">WBF060</t>
  </si>
  <si>
    <t xml:space="preserve">Welland No Sting Wipes</t>
  </si>
  <si>
    <t xml:space="preserve">Bbraun Ally Extenders</t>
  </si>
  <si>
    <t xml:space="preserve">XUFWAFH33</t>
  </si>
  <si>
    <t xml:space="preserve">Welland Ultra-Frame </t>
  </si>
  <si>
    <t xml:space="preserve">Coloplast Belt Elastic Tape</t>
  </si>
  <si>
    <t xml:space="preserve">SPHA2</t>
  </si>
  <si>
    <t xml:space="preserve">Secu Plast Hydro</t>
  </si>
  <si>
    <t xml:space="preserve">SA</t>
  </si>
  <si>
    <t xml:space="preserve">XMHWAFH33</t>
  </si>
  <si>
    <t xml:space="preserve">Welland Hydroframe Manuka Honey </t>
  </si>
  <si>
    <t xml:space="preserve">Coloplast Straight Elastic Tape</t>
  </si>
  <si>
    <t xml:space="preserve">Coloplast Elastic Tape</t>
  </si>
  <si>
    <t xml:space="preserve">SPH1</t>
  </si>
  <si>
    <t xml:space="preserve">075-30</t>
  </si>
  <si>
    <t xml:space="preserve">Dansac X-Tra strips</t>
  </si>
  <si>
    <t xml:space="preserve">DAN</t>
  </si>
  <si>
    <t xml:space="preserve">Adapt Barrier Extenders</t>
  </si>
  <si>
    <t xml:space="preserve">XWAFH33</t>
  </si>
  <si>
    <t xml:space="preserve">Welland Hydroframe</t>
  </si>
  <si>
    <t xml:space="preserve">Coloplast X/L Elastic Tape</t>
  </si>
  <si>
    <t xml:space="preserve">Stomahesive Paste</t>
  </si>
  <si>
    <t xml:space="preserve">Adapt Paste </t>
  </si>
  <si>
    <t xml:space="preserve">NSP1</t>
  </si>
  <si>
    <t xml:space="preserve">Salts Sting Free Stoma Paste</t>
  </si>
  <si>
    <t xml:space="preserve">Coloplast Paste Strips</t>
  </si>
  <si>
    <t xml:space="preserve">77550-0</t>
  </si>
  <si>
    <t xml:space="preserve">Dansac Soft Paste</t>
  </si>
  <si>
    <t xml:space="preserve">SP60</t>
  </si>
  <si>
    <t xml:space="preserve">Salts Stoma Paste</t>
  </si>
  <si>
    <t xml:space="preserve">Eakin Paste</t>
  </si>
  <si>
    <t xml:space="preserve">Coloplast Paste</t>
  </si>
  <si>
    <t xml:space="preserve">WSP100</t>
  </si>
  <si>
    <t xml:space="preserve">Welland Paste</t>
  </si>
  <si>
    <t xml:space="preserve">Coloplast No alcohol Paste</t>
  </si>
  <si>
    <t xml:space="preserve">BBraun Ally Paste</t>
  </si>
  <si>
    <t xml:space="preserve">Salts No Roma</t>
  </si>
  <si>
    <t xml:space="preserve">M9 Deodorant</t>
  </si>
  <si>
    <t xml:space="preserve">Hostoma No Smell</t>
  </si>
  <si>
    <t xml:space="preserve">F/E</t>
  </si>
  <si>
    <t xml:space="preserve">080-00</t>
  </si>
  <si>
    <t xml:space="preserve">Nodor Deodorant</t>
  </si>
  <si>
    <t xml:space="preserve">WPP025</t>
  </si>
  <si>
    <t xml:space="preserve">Welland Stomahesive Powder</t>
  </si>
  <si>
    <t xml:space="preserve">Hollister Premium Powder</t>
  </si>
  <si>
    <t xml:space="preserve">Brava powder</t>
  </si>
  <si>
    <t xml:space="preserve">Stomahesive Powder</t>
  </si>
  <si>
    <t xml:space="preserve">BBraun Ally Powder</t>
  </si>
  <si>
    <t xml:space="preserve">Brava Adh Remover Spray</t>
  </si>
  <si>
    <t xml:space="preserve"> </t>
  </si>
  <si>
    <t xml:space="preserve">Coloplast Travel Wipes</t>
  </si>
  <si>
    <t xml:space="preserve">Hollister Uni Rem Wpes</t>
  </si>
  <si>
    <t xml:space="preserve">Eakin Rel Remover Wipes</t>
  </si>
  <si>
    <t xml:space="preserve">EK</t>
  </si>
  <si>
    <t xml:space="preserve">WA1</t>
  </si>
  <si>
    <t xml:space="preserve">Salts Wipe Away Wipes</t>
  </si>
  <si>
    <t xml:space="preserve">Holl Adapt Adh Rem Spray</t>
  </si>
  <si>
    <t xml:space="preserve">Eakin Rel Adh Rem Spray</t>
  </si>
  <si>
    <t xml:space="preserve">WAB050</t>
  </si>
  <si>
    <t xml:space="preserve">Welland No Sting Rem Spray</t>
  </si>
  <si>
    <t xml:space="preserve">Estena No-Sting Spray</t>
  </si>
  <si>
    <t xml:space="preserve">WAP</t>
  </si>
  <si>
    <t xml:space="preserve">Salts Remover Spray</t>
  </si>
  <si>
    <t xml:space="preserve">Estena Adh Rem Wipes</t>
  </si>
  <si>
    <t xml:space="preserve">083-01</t>
  </si>
  <si>
    <t xml:space="preserve">Dansac Easi Adh Rem Spray</t>
  </si>
  <si>
    <t xml:space="preserve">Brava Remover Wipes</t>
  </si>
  <si>
    <t xml:space="preserve">2005-1</t>
  </si>
  <si>
    <t xml:space="preserve">BBraun Remover Spray</t>
  </si>
  <si>
    <t xml:space="preserve">WAD060 </t>
  </si>
  <si>
    <t xml:space="preserve">Well Adh Rem Wipes</t>
  </si>
  <si>
    <t xml:space="preserve">Convatec Diamond Gel</t>
  </si>
  <si>
    <t xml:space="preserve">Perform Gel</t>
  </si>
  <si>
    <t xml:space="preserve">W9759</t>
  </si>
  <si>
    <t xml:space="preserve">Windless Deod Tablets</t>
  </si>
  <si>
    <t xml:space="preserve">BIO CH</t>
  </si>
  <si>
    <t xml:space="preserve">Adapt Lubricating Gel </t>
  </si>
  <si>
    <t xml:space="preserve">Coloplast Lubricating Gel </t>
  </si>
  <si>
    <t xml:space="preserve">Hostoma No Gas</t>
  </si>
  <si>
    <t xml:space="preserve">FS</t>
  </si>
  <si>
    <t xml:space="preserve">W9760</t>
  </si>
  <si>
    <t xml:space="preserve">Windless Deod Liquid</t>
  </si>
  <si>
    <t xml:space="preserve">Sudocream</t>
  </si>
  <si>
    <t xml:space="preserve">NP</t>
  </si>
  <si>
    <t xml:space="preserve">Comfeel Barrier Cream</t>
  </si>
  <si>
    <t xml:space="preserve">Cavilon Cream</t>
  </si>
  <si>
    <t xml:space="preserve">70000-000</t>
  </si>
  <si>
    <t xml:space="preserve">Dansac Skin Cleanser Bottle</t>
  </si>
  <si>
    <t xml:space="preserve">Hostoma 3 Way Lube</t>
  </si>
  <si>
    <t xml:space="preserve">TR205</t>
  </si>
  <si>
    <t xml:space="preserve"> Trio Gel Sach</t>
  </si>
  <si>
    <t xml:space="preserve">071-30</t>
  </si>
  <si>
    <t xml:space="preserve">Dansac Tre Seals 30mm</t>
  </si>
  <si>
    <t xml:space="preserve">072-57</t>
  </si>
  <si>
    <t xml:space="preserve">Dansac Seals</t>
  </si>
  <si>
    <t xml:space="preserve">Adapt Seals Large</t>
  </si>
  <si>
    <t xml:space="preserve">Adapt Seals 27mm</t>
  </si>
  <si>
    <t xml:space="preserve">071-40</t>
  </si>
  <si>
    <t xml:space="preserve">Dansac Tre Seals 40mm</t>
  </si>
  <si>
    <t xml:space="preserve">Hollister CeraRing Seal 20mm</t>
  </si>
  <si>
    <t xml:space="preserve">Hollister CeraRing Seal 30mm</t>
  </si>
  <si>
    <t xml:space="preserve">Hollister CeraRing Seal 40mm</t>
  </si>
  <si>
    <t xml:space="preserve">Adapt CeraRing Seal 38mm</t>
  </si>
  <si>
    <t xml:space="preserve">Adapt CeraRing Seal 48mm</t>
  </si>
  <si>
    <t xml:space="preserve">Adapt CeraRing Seal 56mm</t>
  </si>
  <si>
    <t xml:space="preserve">Eakin Seals Lge</t>
  </si>
  <si>
    <t xml:space="preserve">Eakin Seals Slims </t>
  </si>
  <si>
    <t xml:space="preserve">072-98</t>
  </si>
  <si>
    <t xml:space="preserve">Dansac Seals Large </t>
  </si>
  <si>
    <t xml:space="preserve">BB01B</t>
  </si>
  <si>
    <t xml:space="preserve">Salts Belt Black</t>
  </si>
  <si>
    <t xml:space="preserve">BB01ST</t>
  </si>
  <si>
    <t xml:space="preserve">Salts Belt Stone</t>
  </si>
  <si>
    <t xml:space="preserve">BBO1W</t>
  </si>
  <si>
    <t xml:space="preserve">Salts Belt White</t>
  </si>
  <si>
    <t xml:space="preserve">Hollister Belt Lge</t>
  </si>
  <si>
    <t xml:space="preserve">Hollister Belt Med</t>
  </si>
  <si>
    <t xml:space="preserve">090-02</t>
  </si>
  <si>
    <t xml:space="preserve">Dansac Belts Lge</t>
  </si>
  <si>
    <t xml:space="preserve">090-03</t>
  </si>
  <si>
    <t xml:space="preserve">Dansac Belts Med</t>
  </si>
  <si>
    <t xml:space="preserve">XBLTL01</t>
  </si>
  <si>
    <t xml:space="preserve">Welland Belt</t>
  </si>
  <si>
    <t xml:space="preserve">XBLTS01</t>
  </si>
  <si>
    <t xml:space="preserve">Eakin Adjustable Belt</t>
  </si>
  <si>
    <t xml:space="preserve">O421</t>
  </si>
  <si>
    <t xml:space="preserve">Coloplast Belts</t>
  </si>
  <si>
    <t xml:space="preserve">O422</t>
  </si>
  <si>
    <t xml:space="preserve">Coloplast Belts XL</t>
  </si>
  <si>
    <t xml:space="preserve">O423</t>
  </si>
  <si>
    <t xml:space="preserve">Mio Coloplast Belts </t>
  </si>
  <si>
    <t xml:space="preserve">O424</t>
  </si>
  <si>
    <t xml:space="preserve">Mio Coloplast Belts XL</t>
  </si>
  <si>
    <t xml:space="preserve">SAAB01</t>
  </si>
  <si>
    <t xml:space="preserve">Salts Belt Std</t>
  </si>
  <si>
    <t xml:space="preserve">SAAB02</t>
  </si>
  <si>
    <t xml:space="preserve">Salts Belt Lge</t>
  </si>
  <si>
    <t xml:space="preserve">BBraun Belt</t>
  </si>
  <si>
    <t xml:space="preserve">Convatec Belts</t>
  </si>
  <si>
    <t xml:space="preserve">Eakin Adjustable Belt Large</t>
  </si>
  <si>
    <t xml:space="preserve">092-00</t>
  </si>
  <si>
    <t xml:space="preserve">Dansac Clips</t>
  </si>
  <si>
    <t xml:space="preserve">O509</t>
  </si>
  <si>
    <t xml:space="preserve">Coloplast Filters</t>
  </si>
  <si>
    <t xml:space="preserve">SMSAS15</t>
  </si>
  <si>
    <t xml:space="preserve">Salts Mouldable Seals</t>
  </si>
  <si>
    <t xml:space="preserve">SMSAS35</t>
  </si>
  <si>
    <t xml:space="preserve">Salts Mouldable Seals </t>
  </si>
  <si>
    <t xml:space="preserve">Convatec Small Seals</t>
  </si>
  <si>
    <t xml:space="preserve">Coloplast Clamps</t>
  </si>
  <si>
    <t xml:space="preserve">Cathstraps</t>
  </si>
  <si>
    <t xml:space="preserve">Convatec Stomahesive Wafers</t>
  </si>
  <si>
    <t xml:space="preserve">Coloplast Prot Sheets 10x10(10)</t>
  </si>
  <si>
    <t xml:space="preserve">Hollister Adh Wafers Cera Plus</t>
  </si>
  <si>
    <t xml:space="preserve">SMSS</t>
  </si>
  <si>
    <t xml:space="preserve">Salts Seals Std</t>
  </si>
  <si>
    <t xml:space="preserve">SMST</t>
  </si>
  <si>
    <t xml:space="preserve">Salts Seals Thin</t>
  </si>
  <si>
    <t xml:space="preserve">Coloplast Prot Sheets (5)</t>
  </si>
  <si>
    <t xml:space="preserve">Brava Convex Seal </t>
  </si>
  <si>
    <t xml:space="preserve">Convatec Slim Seals</t>
  </si>
  <si>
    <t xml:space="preserve">Brava Slim Seals 2.0mm</t>
  </si>
  <si>
    <t xml:space="preserve">Brava Slim Seals 2.0mm 24mm</t>
  </si>
  <si>
    <t xml:space="preserve">Brava Slim Seals 2.0mm 27mm</t>
  </si>
  <si>
    <t xml:space="preserve">Brava Slim Seals 2.0mm 34mm</t>
  </si>
  <si>
    <t xml:space="preserve">Brava Seals 2.5mm 18-76mm</t>
  </si>
  <si>
    <t xml:space="preserve">Brava Seals 2.5mm 27-76mm</t>
  </si>
  <si>
    <t xml:space="preserve">Brava Seals 2.5mm 18-64mm</t>
  </si>
  <si>
    <t xml:space="preserve">XMHWA300</t>
  </si>
  <si>
    <t xml:space="preserve">Welland HyperSeal washer 20mm</t>
  </si>
  <si>
    <t xml:space="preserve">XMHWA310</t>
  </si>
  <si>
    <t xml:space="preserve">Welland HyperSeal washer 30mm</t>
  </si>
  <si>
    <t xml:space="preserve">XMHWA320</t>
  </si>
  <si>
    <t xml:space="preserve">Welland HyperSeal washer 40mm</t>
  </si>
  <si>
    <t xml:space="preserve">XMHWA330</t>
  </si>
  <si>
    <t xml:space="preserve">Welland HyperSeal washer 50mm</t>
  </si>
  <si>
    <t xml:space="preserve">XMHWA400</t>
  </si>
  <si>
    <t xml:space="preserve">Welland HyperWeal washer 40mm</t>
  </si>
  <si>
    <t xml:space="preserve">SAR25</t>
  </si>
  <si>
    <t xml:space="preserve">Salts Seal 25mm</t>
  </si>
  <si>
    <t xml:space="preserve">SAR32</t>
  </si>
  <si>
    <t xml:space="preserve">Salts Seal 32mm</t>
  </si>
  <si>
    <t xml:space="preserve">SAR38</t>
  </si>
  <si>
    <t xml:space="preserve">Salts Seal 38mm</t>
  </si>
  <si>
    <t xml:space="preserve">SAR45</t>
  </si>
  <si>
    <t xml:space="preserve">Salts Seal 45mm</t>
  </si>
  <si>
    <t xml:space="preserve">SMSAT15</t>
  </si>
  <si>
    <t xml:space="preserve">SMSAT35</t>
  </si>
  <si>
    <t xml:space="preserve">725-20</t>
  </si>
  <si>
    <t xml:space="preserve">Dansac Seals 20mm</t>
  </si>
  <si>
    <t xml:space="preserve">725-30</t>
  </si>
  <si>
    <t xml:space="preserve">Dansac Seals 30mm</t>
  </si>
  <si>
    <t xml:space="preserve">725-40</t>
  </si>
  <si>
    <t xml:space="preserve">Dansac Seals 40mm</t>
  </si>
  <si>
    <t xml:space="preserve">725-50</t>
  </si>
  <si>
    <t xml:space="preserve">Dansac Seals 50mm</t>
  </si>
  <si>
    <t xml:space="preserve">Brava Small Seals 4.2mm</t>
  </si>
  <si>
    <t xml:space="preserve">Brava Small Seals 4.2mm 24mm</t>
  </si>
  <si>
    <t xml:space="preserve">Brava Small Seals 4.2mm 27mm</t>
  </si>
  <si>
    <t xml:space="preserve">Brava Seals 4.2mm 18-64mm</t>
  </si>
  <si>
    <t xml:space="preserve">Brava Small Seals 4.2mm 34mm</t>
  </si>
  <si>
    <t xml:space="preserve">072-48</t>
  </si>
  <si>
    <t xml:space="preserve">Dansac Tre Seal 18mm</t>
  </si>
  <si>
    <t xml:space="preserve">DA</t>
  </si>
  <si>
    <t xml:space="preserve">Adapt Seals Small 8805</t>
  </si>
  <si>
    <t xml:space="preserve">Adapt CeraRing Slims 48mm</t>
  </si>
  <si>
    <t xml:space="preserve">HO</t>
  </si>
  <si>
    <t xml:space="preserve">Eakin Wrap Around</t>
  </si>
  <si>
    <t xml:space="preserve">Eakin Free Seal</t>
  </si>
  <si>
    <t xml:space="preserve">Eakin Seals Sml</t>
  </si>
  <si>
    <t xml:space="preserve">Eakin Free Seal 18/48</t>
  </si>
  <si>
    <t xml:space="preserve">Eakin Free Seal Versa 18/48</t>
  </si>
  <si>
    <t xml:space="preserve">Eakin Free Seal Versa 30/48</t>
  </si>
  <si>
    <t xml:space="preserve">BBraun Alley Seal 3mm x 48mm</t>
  </si>
  <si>
    <t xml:space="preserve">BBraun Alley Seal 4.5mm x 48mm</t>
  </si>
  <si>
    <t xml:space="preserve">BBraun Alley Seal 3mm x 98mm</t>
  </si>
  <si>
    <t xml:space="preserve">DC26</t>
  </si>
  <si>
    <t xml:space="preserve">Stoma Collar DC26</t>
  </si>
  <si>
    <t xml:space="preserve">DC29</t>
  </si>
  <si>
    <t xml:space="preserve">Stoma Collar DC29</t>
  </si>
  <si>
    <t xml:space="preserve">DC32</t>
  </si>
  <si>
    <t xml:space="preserve">Stoma Collar DC32</t>
  </si>
  <si>
    <t xml:space="preserve">9431-30</t>
  </si>
  <si>
    <t xml:space="preserve">Hollister O/N Drainage Bags</t>
  </si>
  <si>
    <t xml:space="preserve">Omnigon O/Night Bags (5)</t>
  </si>
  <si>
    <t xml:space="preserve">Hollister O/Night Bags</t>
  </si>
  <si>
    <t xml:space="preserve">BR28300</t>
  </si>
  <si>
    <t xml:space="preserve">Braun O/N Drainage Bags</t>
  </si>
  <si>
    <t xml:space="preserve">ZLO400</t>
  </si>
  <si>
    <t xml:space="preserve">SaltS O/N Bags</t>
  </si>
  <si>
    <t xml:space="preserve">Hollister High Output  Bags</t>
  </si>
  <si>
    <t xml:space="preserve">39901P</t>
  </si>
  <si>
    <t xml:space="preserve">Braun H/O Flow Collectors</t>
  </si>
  <si>
    <t xml:space="preserve">Coloplast S4 O/Night Bags</t>
  </si>
  <si>
    <t xml:space="preserve">CT</t>
  </si>
  <si>
    <t xml:space="preserve">MD-AS02</t>
  </si>
  <si>
    <t xml:space="preserve">InterMed Washout Kit</t>
  </si>
  <si>
    <t xml:space="preserve">AMSL</t>
  </si>
  <si>
    <t xml:space="preserve">Colopl H/O Flow Collectors</t>
  </si>
  <si>
    <t xml:space="preserve">450-00</t>
  </si>
  <si>
    <t xml:space="preserve">Dansac High Output  Bags</t>
  </si>
  <si>
    <t xml:space="preserve">B-WBDP 1S-B</t>
  </si>
  <si>
    <t xml:space="preserve">Omnigon Waist Band</t>
  </si>
  <si>
    <t xml:space="preserve">B-WBDP 1S-N</t>
  </si>
  <si>
    <t xml:space="preserve">B-WBDP 2M-B</t>
  </si>
  <si>
    <t xml:space="preserve">B-WBDP 2M-N</t>
  </si>
  <si>
    <t xml:space="preserve">B-WBDP 3L-B</t>
  </si>
  <si>
    <t xml:space="preserve">B-WBDP 3L-N</t>
  </si>
  <si>
    <t xml:space="preserve">B-WBDP 4X-N</t>
  </si>
  <si>
    <t xml:space="preserve">B-WBDP 5XX-N</t>
  </si>
  <si>
    <t xml:space="preserve">SBNLXL19</t>
  </si>
  <si>
    <t xml:space="preserve">Ainscorp Belt XL</t>
  </si>
  <si>
    <t xml:space="preserve">SBNLXL23</t>
  </si>
  <si>
    <t xml:space="preserve">SBNSM19</t>
  </si>
  <si>
    <t xml:space="preserve">Ainscorp Belt SM</t>
  </si>
  <si>
    <t xml:space="preserve">SBNSM23</t>
  </si>
  <si>
    <t xml:space="preserve">SPX226DS</t>
  </si>
  <si>
    <t xml:space="preserve">SUTHERLAND BELT</t>
  </si>
  <si>
    <t xml:space="preserve">SM</t>
  </si>
  <si>
    <t xml:space="preserve">SSS900W</t>
  </si>
  <si>
    <t xml:space="preserve">SUTHERLAND SUPP SHEILD</t>
  </si>
  <si>
    <t xml:space="preserve">KLB-P-002</t>
  </si>
  <si>
    <t xml:space="preserve">Omnigon Belt</t>
  </si>
  <si>
    <t xml:space="preserve">KLB101</t>
  </si>
  <si>
    <t xml:space="preserve">KLB102</t>
  </si>
  <si>
    <t xml:space="preserve">KLB103</t>
  </si>
  <si>
    <t xml:space="preserve">KLB104</t>
  </si>
  <si>
    <t xml:space="preserve">KLB105</t>
  </si>
  <si>
    <t xml:space="preserve">KLB201</t>
  </si>
  <si>
    <t xml:space="preserve">KLB202</t>
  </si>
  <si>
    <t xml:space="preserve">KLB203</t>
  </si>
  <si>
    <t xml:space="preserve">KLB204</t>
  </si>
  <si>
    <t xml:space="preserve">KLB205</t>
  </si>
  <si>
    <t xml:space="preserve">KLB301</t>
  </si>
  <si>
    <t xml:space="preserve">KLB302</t>
  </si>
  <si>
    <t xml:space="preserve">KLB303</t>
  </si>
  <si>
    <t xml:space="preserve">KLB304</t>
  </si>
  <si>
    <t xml:space="preserve">KLB305</t>
  </si>
  <si>
    <t xml:space="preserve">KLB401</t>
  </si>
  <si>
    <t xml:space="preserve">KLB402</t>
  </si>
  <si>
    <t xml:space="preserve">KLB403</t>
  </si>
  <si>
    <t xml:space="preserve">KLB404</t>
  </si>
  <si>
    <t xml:space="preserve">KLB405</t>
  </si>
  <si>
    <t xml:space="preserve">KKB401B</t>
  </si>
  <si>
    <t xml:space="preserve">KKB401N</t>
  </si>
  <si>
    <t xml:space="preserve">KKB402B</t>
  </si>
  <si>
    <t xml:space="preserve">KKB402N</t>
  </si>
  <si>
    <t xml:space="preserve">KKB403B</t>
  </si>
  <si>
    <t xml:space="preserve">KKB403N</t>
  </si>
  <si>
    <t xml:space="preserve">KKB404B</t>
  </si>
  <si>
    <t xml:space="preserve">KKB405N</t>
  </si>
  <si>
    <t xml:space="preserve">KKB501B</t>
  </si>
  <si>
    <t xml:space="preserve">KKB501N</t>
  </si>
  <si>
    <t xml:space="preserve">KKB502B</t>
  </si>
  <si>
    <t xml:space="preserve">KKB502N</t>
  </si>
  <si>
    <t xml:space="preserve">KKB503B</t>
  </si>
  <si>
    <t xml:space="preserve">KKB503N</t>
  </si>
  <si>
    <t xml:space="preserve">KKB504B</t>
  </si>
  <si>
    <t xml:space="preserve">KKB504N</t>
  </si>
  <si>
    <t xml:space="preserve">KKB602B</t>
  </si>
  <si>
    <t xml:space="preserve">KKB603B</t>
  </si>
  <si>
    <t xml:space="preserve">KKB603N</t>
  </si>
  <si>
    <t xml:space="preserve">KKB604B</t>
  </si>
  <si>
    <t xml:space="preserve">KKB604N</t>
  </si>
  <si>
    <t xml:space="preserve">KKB605B</t>
  </si>
  <si>
    <t xml:space="preserve">Coloplast Cleanser </t>
  </si>
  <si>
    <t xml:space="preserve">Coloplast Cleanser Wipes</t>
  </si>
  <si>
    <t xml:space="preserve">Coloplast Lube Gel Sachet</t>
  </si>
  <si>
    <t xml:space="preserve">Adapt Lube Gel Sachet</t>
  </si>
  <si>
    <t xml:space="preserve">ACE8/100</t>
  </si>
  <si>
    <t xml:space="preserve">ACE Stoma Stopper</t>
  </si>
  <si>
    <t xml:space="preserve">NM</t>
  </si>
  <si>
    <t xml:space="preserve">ACE10/100</t>
  </si>
  <si>
    <t xml:space="preserve">ACE12/100</t>
  </si>
  <si>
    <t xml:space="preserve">AFD-30</t>
  </si>
  <si>
    <t xml:space="preserve">Wound Dressing</t>
  </si>
  <si>
    <t xml:space="preserve">MD-AP8/30</t>
  </si>
  <si>
    <t xml:space="preserve">Stoppers</t>
  </si>
  <si>
    <t xml:space="preserve">IM</t>
  </si>
  <si>
    <t xml:space="preserve">MD-AP12/30</t>
  </si>
  <si>
    <t xml:space="preserve">MD-AP12/60</t>
  </si>
  <si>
    <t xml:space="preserve">MD-AP14/60</t>
  </si>
  <si>
    <t xml:space="preserve">XWAFM33</t>
  </si>
  <si>
    <t xml:space="preserve">Welland Hydroframe  Mini</t>
  </si>
  <si>
    <t xml:space="preserve">XMHWAFM33</t>
  </si>
  <si>
    <t xml:space="preserve">Well Hydroframe  M/H Mini</t>
  </si>
  <si>
    <t xml:space="preserve">Esenta Strips 3cm x 11cm</t>
  </si>
  <si>
    <t xml:space="preserve">EstentaStrips 3cm x 9cm</t>
  </si>
  <si>
    <t xml:space="preserve">LEPA</t>
  </si>
  <si>
    <t xml:space="preserve">Ainscorp Cream </t>
  </si>
  <si>
    <t xml:space="preserve">Coloplast Catheters</t>
  </si>
  <si>
    <t xml:space="preserve">PAY FOR ITEMS</t>
  </si>
  <si>
    <t xml:space="preserve">1530-1</t>
  </si>
  <si>
    <t xml:space="preserve">Micropore 1"    ( 12 )</t>
  </si>
  <si>
    <t xml:space="preserve">1530-2</t>
  </si>
  <si>
    <t xml:space="preserve">Micropore 2"   ( 6 )</t>
  </si>
  <si>
    <t xml:space="preserve">Plastic O/N Bag Stands</t>
  </si>
  <si>
    <t xml:space="preserve">Coloplast Scissors</t>
  </si>
  <si>
    <t xml:space="preserve">3344E</t>
  </si>
  <si>
    <t xml:space="preserve">3M Barrier Wipes</t>
  </si>
  <si>
    <t xml:space="preserve">STK050</t>
  </si>
  <si>
    <t xml:space="preserve">Ten Aces Barrier Spray</t>
  </si>
  <si>
    <t xml:space="preserve">Bed Protectors (1)</t>
  </si>
  <si>
    <t xml:space="preserve">IND</t>
  </si>
  <si>
    <t xml:space="preserve">SML Bed Protectors (5)</t>
  </si>
  <si>
    <t xml:space="preserve">AMANDA STOCK</t>
  </si>
  <si>
    <t xml:space="preserve">TOTAL PAY FOR</t>
  </si>
  <si>
    <t xml:space="preserve">TOTAL PHARMA (NOT PAY FOR)</t>
  </si>
  <si>
    <t xml:space="preserve">BASES/BAGS STOCK</t>
  </si>
  <si>
    <t xml:space="preserve">BRAUN</t>
  </si>
  <si>
    <t xml:space="preserve">44920P</t>
  </si>
  <si>
    <t xml:space="preserve">BAG&amp;BPL FLEXIMA UROSILK CONVEX URO 25MM OP</t>
  </si>
  <si>
    <t xml:space="preserve">62060P</t>
  </si>
  <si>
    <t xml:space="preserve">BPL FLEXIMA KEY BASE PLATE CUT-TO-FIT 55/ 60MM</t>
  </si>
  <si>
    <t xml:space="preserve">62063P</t>
  </si>
  <si>
    <t xml:space="preserve">BPL FLEXIMA KEY CONVEX BASE PLATE 15-45/60MM</t>
  </si>
  <si>
    <t xml:space="preserve">62067P</t>
  </si>
  <si>
    <t xml:space="preserve">BPL FLEXIMA KEY CONVEX BASE PLATE 35/ 60MM</t>
  </si>
  <si>
    <t xml:space="preserve">62160P</t>
  </si>
  <si>
    <t xml:space="preserve">BAG FLEXIMA KEY CLOSED 60MM OP</t>
  </si>
  <si>
    <t xml:space="preserve">931045P</t>
  </si>
  <si>
    <t xml:space="preserve">BAG FLEXIMA 3S 45 MM MIDI TAN CLOSED</t>
  </si>
  <si>
    <t xml:space="preserve">COLOPLAST</t>
  </si>
  <si>
    <t xml:space="preserve">10041</t>
  </si>
  <si>
    <t xml:space="preserve">BPL SENSURA CLICK BASE PLATE &amp; B/TAB 10-65/ 70MM</t>
  </si>
  <si>
    <t xml:space="preserve">10167</t>
  </si>
  <si>
    <t xml:space="preserve">BAG SENSURA CLICK 2PC CLOSED MAXI 70MM OP</t>
  </si>
  <si>
    <t xml:space="preserve">10444</t>
  </si>
  <si>
    <t xml:space="preserve">BAG&amp;BPL SENSURA 1 MIO OPEN MIDI 35MM</t>
  </si>
  <si>
    <t xml:space="preserve">10451</t>
  </si>
  <si>
    <t xml:space="preserve">BAG&amp;BPL SENSURA 1 MIO OPEN MAXI CTF 10-55MM</t>
  </si>
  <si>
    <t xml:space="preserve">10453</t>
  </si>
  <si>
    <t xml:space="preserve">BAG&amp;BPL SENSURA 1 MIO OPEN MAXI 35MM</t>
  </si>
  <si>
    <t xml:space="preserve">10454</t>
  </si>
  <si>
    <t xml:space="preserve">BAG&amp;BPL SENSURA 1 MIO OPEN MAXI 40MM</t>
  </si>
  <si>
    <t xml:space="preserve">10561</t>
  </si>
  <si>
    <t xml:space="preserve">BPL SENSURA MIO 2 PCE FLEX BASE 50MM RING CTF 10-48MM</t>
  </si>
  <si>
    <t xml:space="preserve">10571</t>
  </si>
  <si>
    <t xml:space="preserve">BPL SENSURA MIO 2 PCE FLEX BASE 70MM RING CTF 10-68MM</t>
  </si>
  <si>
    <t xml:space="preserve">10573</t>
  </si>
  <si>
    <t xml:space="preserve">BPL SENSURA MIO 2 PCE FLEX BASE 70MM RING P/CUT 50MM</t>
  </si>
  <si>
    <t xml:space="preserve">10586</t>
  </si>
  <si>
    <t xml:space="preserve">BAG&amp;BPL SENSURA 1 MIO URO MAXI CTF CLEAR 10-45MM</t>
  </si>
  <si>
    <t xml:space="preserve">10871</t>
  </si>
  <si>
    <t xml:space="preserve">BAG&amp;BPL SENSURA 1 MIO CLOSED MIDI CTF 15-45MM</t>
  </si>
  <si>
    <t xml:space="preserve">10872</t>
  </si>
  <si>
    <t xml:space="preserve">BAG&amp;BPL SENSURA 1 MIO CLOSED MIDI 25MM</t>
  </si>
  <si>
    <t xml:space="preserve">10874</t>
  </si>
  <si>
    <t xml:space="preserve">BAG&amp;BPL SENSURA 1 MIO CLOSED MIDI 35MM</t>
  </si>
  <si>
    <t xml:space="preserve">10881</t>
  </si>
  <si>
    <t xml:space="preserve">BAG&amp;BPL SENSURA 1 MIO CLOSED MAXI CTF 15-45 MM</t>
  </si>
  <si>
    <t xml:space="preserve">10883</t>
  </si>
  <si>
    <t xml:space="preserve">BAG&amp;BPL SENSURA 1 MIO CLOSED MAXI 30MM</t>
  </si>
  <si>
    <t xml:space="preserve">11441</t>
  </si>
  <si>
    <t xml:space="preserve">BAG SENSURA MIO 2 PCE DRAIN CLICK SML CLR 50MM</t>
  </si>
  <si>
    <t xml:space="preserve">12212</t>
  </si>
  <si>
    <t xml:space="preserve">BAG SENSURA MIO 2 PCE CLOSED FLEX  CLR MED 50MM</t>
  </si>
  <si>
    <t xml:space="preserve">12213</t>
  </si>
  <si>
    <t xml:space="preserve">BAG SENSURA MIO 2 PCE CLOSED FLEX  CLR LGE 50MM</t>
  </si>
  <si>
    <t xml:space="preserve">12216</t>
  </si>
  <si>
    <t xml:space="preserve">BAG SENSURA MIO 2 PCE CLOSED FLEX  CLR LGE NO WINDOW 5</t>
  </si>
  <si>
    <t xml:space="preserve">12243</t>
  </si>
  <si>
    <t xml:space="preserve">BAG SENSURA MIO 2 PCE DRAIN FLEX CLR LGE 50MM</t>
  </si>
  <si>
    <t xml:space="preserve">12252</t>
  </si>
  <si>
    <t xml:space="preserve">BAG SENSURA MIO 2 PCE DRAIN FLEX CLR LARGE 70MM</t>
  </si>
  <si>
    <t xml:space="preserve">13984</t>
  </si>
  <si>
    <t xml:space="preserve">BAG ALTERNA COMFORT 2PC DRAIN MAXI 40MM OP</t>
  </si>
  <si>
    <t xml:space="preserve">15539</t>
  </si>
  <si>
    <t xml:space="preserve">BAG&amp;BPL C/PLAST SENSURA SH/CONV DRAIN MAXI 31MM OP</t>
  </si>
  <si>
    <t xml:space="preserve">15541</t>
  </si>
  <si>
    <t xml:space="preserve">BAG&amp;BPL C/PLAST SENSURA EASICLOSE DRAINABLE MIDI 10-66MM C</t>
  </si>
  <si>
    <t xml:space="preserve">16306</t>
  </si>
  <si>
    <t xml:space="preserve">BAG&amp;BPL SENSURA MIO 1 PCE CLSD SOFT CONV MAXI  CTF 10-50MM</t>
  </si>
  <si>
    <t xml:space="preserve">16311</t>
  </si>
  <si>
    <t xml:space="preserve">BAG&amp;BPL SENSURA MIO 1 PCE CLSD SOFT CONV MAXI  PRECUT 28MM</t>
  </si>
  <si>
    <t xml:space="preserve">16312</t>
  </si>
  <si>
    <t xml:space="preserve">BAG&amp;BPL SENSURA MIO 1 PCE CLSD SOFT CONV MAXI  PRECUT 31MM</t>
  </si>
  <si>
    <t xml:space="preserve">16410</t>
  </si>
  <si>
    <t xml:space="preserve">BAG&amp;BPL SENSURA MIO 1 PCE DRAIN SOFT CONVX MAXI PRECUT 25M</t>
  </si>
  <si>
    <t xml:space="preserve">16411</t>
  </si>
  <si>
    <t xml:space="preserve">BAG&amp;BPL SENSURA MIO 1 PCE DRAIN SOFT CONVX MAXI PRECUT 28M</t>
  </si>
  <si>
    <t xml:space="preserve">16412</t>
  </si>
  <si>
    <t xml:space="preserve">BAG&amp;BPL SENSURA MIO 1 PCE DRAIN SOFT CONVX MAXI PRECUT 31M</t>
  </si>
  <si>
    <t xml:space="preserve">16413</t>
  </si>
  <si>
    <t xml:space="preserve">BAG&amp;BPL SENSURA MIO 1 PCE DRAIN SOFT CONVX MAXI PRECUT 35M</t>
  </si>
  <si>
    <t xml:space="preserve">16426</t>
  </si>
  <si>
    <t xml:space="preserve">BAG&amp;BPL SENSURA MIO 1 PCE DRAIN SHALLOW CONVX MAXI CTF 15-</t>
  </si>
  <si>
    <t xml:space="preserve">16427</t>
  </si>
  <si>
    <t xml:space="preserve">BAG&amp;BPL SENSURA MIO 1 PCE DRAIN SHALLOW CONVX MAXI PRECUT</t>
  </si>
  <si>
    <t xml:space="preserve">16430</t>
  </si>
  <si>
    <t xml:space="preserve">16431</t>
  </si>
  <si>
    <t xml:space="preserve">16432</t>
  </si>
  <si>
    <t xml:space="preserve">16434</t>
  </si>
  <si>
    <t xml:space="preserve">16436</t>
  </si>
  <si>
    <t xml:space="preserve">BAG&amp;BPL Mio430 1p light op mx 10-43</t>
  </si>
  <si>
    <t xml:space="preserve">16446</t>
  </si>
  <si>
    <t xml:space="preserve">BAG&amp;BPL SENSURA MIO 1 PCE DRAIN DEEP CONVX MAXI CTF 15-33M</t>
  </si>
  <si>
    <t xml:space="preserve">16451</t>
  </si>
  <si>
    <t xml:space="preserve">BAG&amp;BPL SENSURA MIO 1 PCE DRAIN DEEP CONVX MAXI PRECUT 25M</t>
  </si>
  <si>
    <t xml:space="preserve">16453</t>
  </si>
  <si>
    <t xml:space="preserve">BAG&amp;BPL SENSURA MIO 1 PCE DRAIN DEEP CONVX PRECUT 28MM</t>
  </si>
  <si>
    <t xml:space="preserve">16456</t>
  </si>
  <si>
    <t xml:space="preserve">BAG&amp;BPL Mio430 1p deep op mx 10-43</t>
  </si>
  <si>
    <t xml:space="preserve">16481</t>
  </si>
  <si>
    <t xml:space="preserve">BPL SENSURA MIO FLEX SHLLW CONV BASE 50MM CTF15-30MM</t>
  </si>
  <si>
    <t xml:space="preserve">16483</t>
  </si>
  <si>
    <t xml:space="preserve">BPL SENSURA MIO FLEX SHLLW CONV BASE 50MM CTF15-40MM</t>
  </si>
  <si>
    <t xml:space="preserve">16486</t>
  </si>
  <si>
    <t xml:space="preserve">BPL SENSURA MIO FLEX SHLLW CONV BASE 50MM PRECUT 28MM</t>
  </si>
  <si>
    <t xml:space="preserve">16487</t>
  </si>
  <si>
    <t xml:space="preserve">BPL SENSURA MIO FLEX SHLLW CONV BASE 50MM PRECUT 31MM</t>
  </si>
  <si>
    <t xml:space="preserve">16488</t>
  </si>
  <si>
    <t xml:space="preserve">BPL SENSURA MIO FLEX SHLLW CONV BASE 50MM PRECUT 35MM</t>
  </si>
  <si>
    <t xml:space="preserve">16840</t>
  </si>
  <si>
    <t xml:space="preserve">BAG&amp;BPL SENSURA MIO 1PCE URO SHLW CONX MAXI CLR PRECUT 21M</t>
  </si>
  <si>
    <t xml:space="preserve">16851</t>
  </si>
  <si>
    <t xml:space="preserve">BAG&amp;BPL SENSURA MIO 1PCE URO DEEP CONX MIDI CTF 10-23MM</t>
  </si>
  <si>
    <t xml:space="preserve">16865</t>
  </si>
  <si>
    <t xml:space="preserve">BAG&amp;BPL SENSURA MIO 1PCE URO DEEP CONX CLR MAXI CTF 10-23M</t>
  </si>
  <si>
    <t xml:space="preserve">16885</t>
  </si>
  <si>
    <t xml:space="preserve">BPL Sensura Mio Soft Convex 28mm/50mm ring</t>
  </si>
  <si>
    <t xml:space="preserve">16887</t>
  </si>
  <si>
    <t xml:space="preserve">BPL Sensura Mio Soft Convex 31mm/50mm ring</t>
  </si>
  <si>
    <t xml:space="preserve">16888</t>
  </si>
  <si>
    <t xml:space="preserve">BPL Sensura Mio Soft Convex 35mm/50mm ring</t>
  </si>
  <si>
    <t xml:space="preserve">16914</t>
  </si>
  <si>
    <t xml:space="preserve">BPL SENSURA MIO BASE SHALLOW CONVX CLICK  50MM PRECUT</t>
  </si>
  <si>
    <t xml:space="preserve">16954</t>
  </si>
  <si>
    <t xml:space="preserve">BPL SENSURA MIO BASE DEEP CONVX CLICK 50MM PRECUT 25MM</t>
  </si>
  <si>
    <t xml:space="preserve">18173</t>
  </si>
  <si>
    <t xml:space="preserve">BAG&amp;BPL Mio430 Cnv 1p cl mx w/w 35-50</t>
  </si>
  <si>
    <t xml:space="preserve">18263</t>
  </si>
  <si>
    <t xml:space="preserve">BAG&amp;BPL Mio430 Cnv 1p op md w/w 30-50</t>
  </si>
  <si>
    <t xml:space="preserve">18280</t>
  </si>
  <si>
    <t xml:space="preserve">BAG&amp;BPL Mio430 Cnv 1p op mx w/w 10-60</t>
  </si>
  <si>
    <t xml:space="preserve">18602</t>
  </si>
  <si>
    <t xml:space="preserve">BAG SenSura Mio Click 2 Piece High Output with Window 60mm</t>
  </si>
  <si>
    <t xml:space="preserve">18956</t>
  </si>
  <si>
    <t xml:space="preserve">BAG&amp;BPL SenSura Mio Black ShConv 25mm LG DRN</t>
  </si>
  <si>
    <t xml:space="preserve">18959</t>
  </si>
  <si>
    <t xml:space="preserve">BAG&amp;BPL SenSura Mio Black ShConv 10-43mm CTF LG DRN</t>
  </si>
  <si>
    <t xml:space="preserve">18973</t>
  </si>
  <si>
    <t xml:space="preserve">BAG&amp;BPL SenSura Mio Black SoftConv 25mm LG DRN</t>
  </si>
  <si>
    <t xml:space="preserve">18974</t>
  </si>
  <si>
    <t xml:space="preserve">BAG&amp;BPL SenSura Mio Black SoftConv 28mm LG DRN</t>
  </si>
  <si>
    <t xml:space="preserve">18975</t>
  </si>
  <si>
    <t xml:space="preserve">BAG&amp;BPL SenSura Mio Black SoftConv 31mm LG DRN</t>
  </si>
  <si>
    <t xml:space="preserve">2832</t>
  </si>
  <si>
    <t xml:space="preserve">BPL ALTERNA EXTRA BASE PLATE 10-45/ 50MM</t>
  </si>
  <si>
    <t xml:space="preserve">2884</t>
  </si>
  <si>
    <t xml:space="preserve">BPL ALTERNA WEARLIFE BASE PLATE/BELT TABS 10-35/ 40MM</t>
  </si>
  <si>
    <t xml:space="preserve">CT16405</t>
  </si>
  <si>
    <t xml:space="preserve">BAG&amp;BPL SENSURA MIO 1 PCE DRAIN SOFT CONVX MAXI CTF 15-33M</t>
  </si>
  <si>
    <t xml:space="preserve">CT16406</t>
  </si>
  <si>
    <t xml:space="preserve">BAG&amp;BPL SENSURA MIO 1 PCE DRAIN SOFT CONVX MAXI CTF 10-50M</t>
  </si>
  <si>
    <t xml:space="preserve">CONVATEC</t>
  </si>
  <si>
    <t xml:space="preserve">125263</t>
  </si>
  <si>
    <t xml:space="preserve">BPL Natura Durahesive Skin Barrier 38mm</t>
  </si>
  <si>
    <t xml:space="preserve">125264</t>
  </si>
  <si>
    <t xml:space="preserve">BPL SUR-FIT NATURA 2PC B/PLATE 45MM RING CUT-TO-FIT 20</t>
  </si>
  <si>
    <t xml:space="preserve">125265</t>
  </si>
  <si>
    <t xml:space="preserve">BPL SUR-FIT NATURA 2PC B/PLATE 57MM RING CUT-TO-FIT 20</t>
  </si>
  <si>
    <t xml:space="preserve">401535</t>
  </si>
  <si>
    <t xml:space="preserve">Sur-Fit Natura Uro Pch single chamber 820ml</t>
  </si>
  <si>
    <t xml:space="preserve">401536</t>
  </si>
  <si>
    <t xml:space="preserve">Sur-Fit Natura Uro Pch single chamber 800ml</t>
  </si>
  <si>
    <t xml:space="preserve">401575</t>
  </si>
  <si>
    <t xml:space="preserve">421680</t>
  </si>
  <si>
    <t xml:space="preserve">BAG NATURA+ PCH CLD STD WIN WF 45MM(1X30)</t>
  </si>
  <si>
    <t xml:space="preserve">421746</t>
  </si>
  <si>
    <t xml:space="preserve">BAG Natura +  Opaque Drainable pouch with filter, viewing window and Invisiclosure 38mm</t>
  </si>
  <si>
    <t xml:space="preserve">422551</t>
  </si>
  <si>
    <t xml:space="preserve">BAG&amp;BPL Esteem+ Soft Convex Uro CTF 20 - 47</t>
  </si>
  <si>
    <t xml:space="preserve">423659</t>
  </si>
  <si>
    <t xml:space="preserve">BAG&amp;BPL Esteem Body Drainable Large Flex convex Pre-cut 25mm</t>
  </si>
  <si>
    <t xml:space="preserve">423664</t>
  </si>
  <si>
    <t xml:space="preserve">BAG&amp;BPL Esteem Body Drainable Flex convex CTF 10-55mm</t>
  </si>
  <si>
    <t xml:space="preserve">423682</t>
  </si>
  <si>
    <t xml:space="preserve">BAG&amp;BPL Esteem Body Closed Soft convex pre-cut 35mm</t>
  </si>
  <si>
    <t xml:space="preserve">423721</t>
  </si>
  <si>
    <t xml:space="preserve">BAG&amp;BPL Esteem Body Urostomy Flex convex CTF 10 - 45mm</t>
  </si>
  <si>
    <t xml:space="preserve">DANSAC</t>
  </si>
  <si>
    <t xml:space="preserve">3083-25</t>
  </si>
  <si>
    <t xml:space="preserve">BAG&amp;BPL NL TRE 1 Maxi Opn Sft Cvx VO Precut 25</t>
  </si>
  <si>
    <t xml:space="preserve">3343-25</t>
  </si>
  <si>
    <t xml:space="preserve">BPL NOVALIFE TRE CTF 25MM, 43MM COUPLING</t>
  </si>
  <si>
    <t xml:space="preserve">3496-30</t>
  </si>
  <si>
    <t xml:space="preserve">TRE Urostomy 1 Piece Soft Convex 30mm MIDI</t>
  </si>
  <si>
    <t xml:space="preserve">3496-34</t>
  </si>
  <si>
    <t xml:space="preserve">TRE Urostomy 1 Piece Soft Convex CTF 15-34 MIDI</t>
  </si>
  <si>
    <t xml:space="preserve">4081-44</t>
  </si>
  <si>
    <t xml:space="preserve">BAG&amp;BPL NL TRE Maxi Drn SoftCon CTF 15-44mm Black</t>
  </si>
  <si>
    <t xml:space="preserve">816-15</t>
  </si>
  <si>
    <t xml:space="preserve">Dansac Large Drain Bag ctf</t>
  </si>
  <si>
    <t xml:space="preserve">823-30</t>
  </si>
  <si>
    <t xml:space="preserve">BAG&amp;BPL DAN NOVA 1 FOLD UP FILT DRAIN 30-60MM OP</t>
  </si>
  <si>
    <t xml:space="preserve">829-20</t>
  </si>
  <si>
    <t xml:space="preserve">CAP DAN NOVA MINI CAP LINEN 20-50MM</t>
  </si>
  <si>
    <t xml:space="preserve">829-25</t>
  </si>
  <si>
    <t xml:space="preserve">CAP DAN NOVA MINI CAP LINEN 25MM</t>
  </si>
  <si>
    <t xml:space="preserve">829-30</t>
  </si>
  <si>
    <t xml:space="preserve">CAP DAN NOVA MINI CAP LINEN 30MM</t>
  </si>
  <si>
    <t xml:space="preserve">894-37</t>
  </si>
  <si>
    <t xml:space="preserve">BAG&amp;BPL DANSAC NOVA 1 ONE PIECE UROSTOMY CUT TO FIT 15-37M</t>
  </si>
  <si>
    <t xml:space="preserve">9050-10</t>
  </si>
  <si>
    <t xml:space="preserve">BAG&amp;BPL NOVALIFE 1 PCE FLAT CLOSED LGE  WITH EASIVIEW CTF</t>
  </si>
  <si>
    <t xml:space="preserve">942-40</t>
  </si>
  <si>
    <t xml:space="preserve">BAG&amp;BPL DANSAC NOVALIFE 1 PIECE DRAIN CONVEX OVAL BASE PLA</t>
  </si>
  <si>
    <t xml:space="preserve">971-40</t>
  </si>
  <si>
    <t xml:space="preserve">BAG&amp;BPL NOVALIFE 1 CONVEX  CLOSED MAXI 40MM</t>
  </si>
  <si>
    <t xml:space="preserve">971-44</t>
  </si>
  <si>
    <t xml:space="preserve">BAG&amp;BPL NOVALIFE 1 CONVEX CLOSED MAXI CTF 15-44</t>
  </si>
  <si>
    <t xml:space="preserve">981-34</t>
  </si>
  <si>
    <t xml:space="preserve">BAG&amp;BPL NOVALIFE 1 CONVEX  OPEN MIDI CTF 15-34MM</t>
  </si>
  <si>
    <t xml:space="preserve">981-44</t>
  </si>
  <si>
    <t xml:space="preserve">BAG&amp;BPL NovaLife 1 Soft Cnvx Drn EasiView 15-44mm Maxi</t>
  </si>
  <si>
    <t xml:space="preserve">981-45</t>
  </si>
  <si>
    <t xml:space="preserve">BAG&amp;BPL NOVALIFE 1 CONVEX  OPEN MAXI 45MM</t>
  </si>
  <si>
    <t xml:space="preserve">983-34</t>
  </si>
  <si>
    <t xml:space="preserve">BAG&amp;BPL NovaLife 1 Soft Cnvx Drn EasiView 15-34mm Maxi</t>
  </si>
  <si>
    <t xml:space="preserve">HOLLISTER</t>
  </si>
  <si>
    <t xml:space="preserve">112014</t>
  </si>
  <si>
    <t xml:space="preserve">BPL New Image Ceraplus Flat w Tape 25mm, 44mm ring</t>
  </si>
  <si>
    <t xml:space="preserve">112015</t>
  </si>
  <si>
    <t xml:space="preserve">11203</t>
  </si>
  <si>
    <t xml:space="preserve">BPL NEW IMAGE CERAPLUS FLAT  BASE PLATE W/- TAPE 57MM</t>
  </si>
  <si>
    <t xml:space="preserve">11204</t>
  </si>
  <si>
    <t xml:space="preserve">BPL NEW IMAGE CERAPLUS FLAT  BASE PLATE W/- TAPE 70MM</t>
  </si>
  <si>
    <t xml:space="preserve">11505</t>
  </si>
  <si>
    <t xml:space="preserve">BPL NEW IMAGE CERAPLUS CONVEX TAPE 57 MM PRECUT 29MM</t>
  </si>
  <si>
    <t xml:space="preserve">11506</t>
  </si>
  <si>
    <t xml:space="preserve">BPL NEW IMAGE CERAPLUS CONVEX TAPE 57 MM PRECUT 32MM</t>
  </si>
  <si>
    <t xml:space="preserve">11703</t>
  </si>
  <si>
    <t xml:space="preserve">BPL New Image Sft Cnvx CeraPlus Tape 57mm Flange CTF.</t>
  </si>
  <si>
    <t xml:space="preserve">11903</t>
  </si>
  <si>
    <t xml:space="preserve">BPL New Image Sft Cnvx CeraPlus Tape 44mm Flange PC 22mm</t>
  </si>
  <si>
    <t xml:space="preserve">11904</t>
  </si>
  <si>
    <t xml:space="preserve">BPL New Image Sft Cnvx CeraPlus Tape 44mm Flange PC 25mm</t>
  </si>
  <si>
    <t xml:space="preserve">11905</t>
  </si>
  <si>
    <t xml:space="preserve">BPL New Image Sft Cnvx CeraPlus Tape 57mm Flange PC 29mm</t>
  </si>
  <si>
    <t xml:space="preserve">14202</t>
  </si>
  <si>
    <t xml:space="preserve">BPL HOLL NEW IMAGE FLEXWEAR FLANGE 12-25/ 44MM TAPE</t>
  </si>
  <si>
    <t xml:space="preserve">15103</t>
  </si>
  <si>
    <t xml:space="preserve">BPL Ceraplus New Image Base no tape flat 57mm CTF13-44mm</t>
  </si>
  <si>
    <t xml:space="preserve">151114</t>
  </si>
  <si>
    <t xml:space="preserve">BPL New Image Ceraplus Flat 25mm, 44mm ring</t>
  </si>
  <si>
    <t xml:space="preserve">18183</t>
  </si>
  <si>
    <t xml:space="preserve">BAG HOLL NEW IMAGE 2PC DRN MX FILT LOCK/ROLL 57MM OP</t>
  </si>
  <si>
    <t xml:space="preserve">18392</t>
  </si>
  <si>
    <t xml:space="preserve">BAG HOLL NEW IMAGE 2PC CLOSED MIDI FILTER 44MM OP</t>
  </si>
  <si>
    <t xml:space="preserve">18902</t>
  </si>
  <si>
    <t xml:space="preserve">BAG NEW IMAGE 2 PCE URO 44MM CLR</t>
  </si>
  <si>
    <t xml:space="preserve">18903</t>
  </si>
  <si>
    <t xml:space="preserve">BAG NEW IMAGE 2 PCE URO 57MM CLR</t>
  </si>
  <si>
    <t xml:space="preserve">18912</t>
  </si>
  <si>
    <t xml:space="preserve">BAG NEW IMAGE 2 PCE URO 44MM RING OP</t>
  </si>
  <si>
    <t xml:space="preserve">18913</t>
  </si>
  <si>
    <t xml:space="preserve">BAG NEW IMAGE 2 PCE URO 57MM RING OP</t>
  </si>
  <si>
    <t xml:space="preserve">22430</t>
  </si>
  <si>
    <t xml:space="preserve">BAG&amp;BPL HOLL MODERMA FLEX CLOSED MAXI 30MM CL</t>
  </si>
  <si>
    <t xml:space="preserve">22440</t>
  </si>
  <si>
    <t xml:space="preserve">BAG&amp;BPL HOLL MODERMA FLEX CLOSED MAXI 40MM CL</t>
  </si>
  <si>
    <t xml:space="preserve">2281130</t>
  </si>
  <si>
    <t xml:space="preserve">BAG&amp;BPL PROTECTED SINGLE CARBON FILTER, OPAQUE WITH FABRIC</t>
  </si>
  <si>
    <t xml:space="preserve">29725</t>
  </si>
  <si>
    <t xml:space="preserve">BAG&amp;BPL HOLL MODERMA FLEX CONV URO DURA/TAPE 25MM CL</t>
  </si>
  <si>
    <t xml:space="preserve">2979125</t>
  </si>
  <si>
    <t xml:space="preserve">BAG&amp;BPL Moderma Flex 1 pce uro firm convx clr 25mm</t>
  </si>
  <si>
    <t xml:space="preserve">54100</t>
  </si>
  <si>
    <t xml:space="preserve">BAG&amp;BPL Ceraplus Moderma Flex 1 pce drain sft convx maxi op ctf 15-38mm</t>
  </si>
  <si>
    <t xml:space="preserve">54101</t>
  </si>
  <si>
    <t xml:space="preserve">BAG&amp;BPL Ceraplus Moderma Flex 1 pce drain sft convx maxi op ctf 15-55mm</t>
  </si>
  <si>
    <t xml:space="preserve">54125</t>
  </si>
  <si>
    <t xml:space="preserve">BAG&amp;BPL Ceraplus Moderma Flex 1 pce drain sft convx maxi op ctf 25mm</t>
  </si>
  <si>
    <t xml:space="preserve">54300</t>
  </si>
  <si>
    <t xml:space="preserve">BAG&amp;BPL Ceraplus Moderma flex 1 pce drain flat maxi opq ctf 15-64mm</t>
  </si>
  <si>
    <t xml:space="preserve">54825</t>
  </si>
  <si>
    <t xml:space="preserve">BAG&amp;BPL Ceraplus Moderma Flex 1 pce drain firm convx maxi op 25mm</t>
  </si>
  <si>
    <t xml:space="preserve">5691140</t>
  </si>
  <si>
    <t xml:space="preserve">BAG&amp;BPL Moderma Flex 1 pce soft convx drain clr maxi 40mm</t>
  </si>
  <si>
    <t xml:space="preserve">10</t>
  </si>
  <si>
    <t xml:space="preserve">59825</t>
  </si>
  <si>
    <t xml:space="preserve">BAG&amp;BPL MF SCvxCP Tp Uro V2 VO 25mm PS</t>
  </si>
  <si>
    <t xml:space="preserve">59830</t>
  </si>
  <si>
    <t xml:space="preserve">BAG&amp;BPL MF SCvxCP Tp Uro V2 VO 30mm PS</t>
  </si>
  <si>
    <t xml:space="preserve">59901</t>
  </si>
  <si>
    <t xml:space="preserve">BAG&amp;BPL MF SCvxCP Tp Uro V2 UClr 15-38mm CTF</t>
  </si>
  <si>
    <t xml:space="preserve">OMNIGON</t>
  </si>
  <si>
    <t xml:space="preserve">839812</t>
  </si>
  <si>
    <t xml:space="preserve">BPL Eakin Dot 2P 80mm Flat Base Plate Pre-cut 50mm</t>
  </si>
  <si>
    <t xml:space="preserve">839826</t>
  </si>
  <si>
    <t xml:space="preserve">BPL Eakin Dot 2P 60mm Convex Bplate Pre-cut 32.5mm</t>
  </si>
  <si>
    <t xml:space="preserve">839827</t>
  </si>
  <si>
    <t xml:space="preserve">BPL Eakin Dot 2P 60mm Convex Bplate Pre-cut 35mm</t>
  </si>
  <si>
    <t xml:space="preserve">839902</t>
  </si>
  <si>
    <t xml:space="preserve">BAG Eakin Dot2  Clsd Maxi Clear 60mm</t>
  </si>
  <si>
    <t xml:space="preserve">839923</t>
  </si>
  <si>
    <t xml:space="preserve">BAG Eakin Dot 2P 80mm Drainable Maxi Split Fabric</t>
  </si>
  <si>
    <t xml:space="preserve">840206</t>
  </si>
  <si>
    <t xml:space="preserve">BAG&amp;BPL Eakin Dot Drainable Convex Midi Split Fabric Pre-cut 25mm</t>
  </si>
  <si>
    <t xml:space="preserve">840211</t>
  </si>
  <si>
    <t xml:space="preserve">BAG&amp;BPL Eakin Dot Drainable Convex Midi Split Fabric Pre-cut 37.5mm</t>
  </si>
  <si>
    <t xml:space="preserve">X1C1A1225</t>
  </si>
  <si>
    <t xml:space="preserve">BAG&amp;BPL Welland Aurum +��window MED��pre-cut 25��mm</t>
  </si>
  <si>
    <t xml:space="preserve">X1C1N236313</t>
  </si>
  <si>
    <t xml:space="preserve">BAG&amp;BPL Aurum Plus Sft Cnvx 48mm Clsd Maxi Sand CTF 13-48mm</t>
  </si>
  <si>
    <t xml:space="preserve">X1D1A1338</t>
  </si>
  <si>
    <t xml:space="preserve">BAG&amp;BPL Welland Aurum +���window LGE pre-cut 38��mm</t>
  </si>
  <si>
    <t xml:space="preserve">X1D1A1344</t>
  </si>
  <si>
    <t xml:space="preserve">BAG&amp;BPL Welland Aurum +���window LGE pre-cut 44��mm</t>
  </si>
  <si>
    <t xml:space="preserve">X1D1N226344</t>
  </si>
  <si>
    <t xml:space="preserve">BAG&amp;BPL Aurum Plus Sft Cnvx 48mm Drn Midi Sand 44mm 400ml</t>
  </si>
  <si>
    <t xml:space="preserve">X1D1N256413</t>
  </si>
  <si>
    <t xml:space="preserve">BAG&amp;BPL Aurum Plus Sft Cnvx 60mm Drn Maxi Plus Sand CTF 13-60mm</t>
  </si>
  <si>
    <t xml:space="preserve">X1U1R226125</t>
  </si>
  <si>
    <t xml:space="preserve">BAG&amp;BPL Aurum Plus Sft Cnvx 25mm Uro Midi Sand 25mm 370ml</t>
  </si>
  <si>
    <t xml:space="preserve">XMH2U145</t>
  </si>
  <si>
    <t xml:space="preserve">BAG WELLAND AURUM 2 URO MAXI 45MM</t>
  </si>
  <si>
    <t xml:space="preserve">XMH2UF432</t>
  </si>
  <si>
    <t xml:space="preserve">BPL WELLAND AURUM 2 MH 45MM URO BPLATE 32MM</t>
  </si>
  <si>
    <t xml:space="preserve">XMHNCL938</t>
  </si>
  <si>
    <t xml:space="preserve">BAG&amp;BPL Aurum Manuka Honey Clsd Convex, Maxi, Tan, Pre cut 38mm</t>
  </si>
  <si>
    <t xml:space="preserve">XMHNDM525</t>
  </si>
  <si>
    <t xml:space="preserve">BAG&amp;BPL Aurum Manuka Honey Drain Convex, Midi, Tan, Pre cut 25mm</t>
  </si>
  <si>
    <t xml:space="preserve">XMHSS513</t>
  </si>
  <si>
    <t xml:space="preserve">CAP WELLAND AURUM MH 1 PCE STOMA CAP 13-50MM</t>
  </si>
  <si>
    <t xml:space="preserve">XMHSS535</t>
  </si>
  <si>
    <t xml:space="preserve">CAP Aurum Mini with Manuka Honey oval  pre-cut, 35mm</t>
  </si>
  <si>
    <t xml:space="preserve">SALTS</t>
  </si>
  <si>
    <t xml:space="preserve">BG25N</t>
  </si>
  <si>
    <t xml:space="preserve">BAG&amp;BPL CONF BE go Closed Std 25mm</t>
  </si>
  <si>
    <t xml:space="preserve">BGD35N</t>
  </si>
  <si>
    <t xml:space="preserve">BAG&amp;BPL CONF BE go Drain Std 35mm</t>
  </si>
  <si>
    <t xml:space="preserve">HDC1350</t>
  </si>
  <si>
    <t xml:space="preserve">BAG SALTS HARMONY DUO CLOSED 13-50MM OP</t>
  </si>
  <si>
    <t xml:space="preserve">HDC1370</t>
  </si>
  <si>
    <t xml:space="preserve">BAG SALTS HARMONY DUO CLOSED 13-70MM OP</t>
  </si>
  <si>
    <t xml:space="preserve">HDCL1350</t>
  </si>
  <si>
    <t xml:space="preserve">BAG SALTS HARMONY DUO CLOSED LARGE 13-50MM OP</t>
  </si>
  <si>
    <t xml:space="preserve">HDD1350</t>
  </si>
  <si>
    <t xml:space="preserve">BAG SALTS HARMONY DUO DRAIN 13-50MM</t>
  </si>
  <si>
    <t xml:space="preserve">ND13</t>
  </si>
  <si>
    <t xml:space="preserve">BAG&amp;BPL SALTS CONFIDENCE NATURAL DRAIN SMALL CUT-TO-FIT 13</t>
  </si>
  <si>
    <t xml:space="preserve">NDA13</t>
  </si>
  <si>
    <t xml:space="preserve">BAG&amp;BPL Confidence Natural Advanced Drain Aloe Vera CTF 13-70mm</t>
  </si>
  <si>
    <t xml:space="preserve">NDA28</t>
  </si>
  <si>
    <t xml:space="preserve">BAG&amp;BPL Confidence Natural Advanced Drain Aloe Vera Precut 28mm</t>
  </si>
  <si>
    <t xml:space="preserve">XBGD1352N</t>
  </si>
  <si>
    <t xml:space="preserve">BAG&amp;BPL CONF BE go Soft Conv Drain Std 13-52mm</t>
  </si>
  <si>
    <t xml:space="preserve">XBGD28N</t>
  </si>
  <si>
    <t xml:space="preserve">BAG&amp;BPL CONF BE go Soft Conv Drain Std 28mm</t>
  </si>
  <si>
    <t xml:space="preserve">XBGD32N</t>
  </si>
  <si>
    <t xml:space="preserve">BAG&amp;BPL CONF BE go Soft Conv Drain Std 32mm</t>
  </si>
  <si>
    <t xml:space="preserve">XFHD1338</t>
  </si>
  <si>
    <t xml:space="preserve">BPL HARMONY DUO CONVEX FLANGE 13-38</t>
  </si>
  <si>
    <t xml:space="preserve">XFHD1352</t>
  </si>
  <si>
    <t xml:space="preserve">BPL HARMONY DUO CONVEX FLANGE 13-52</t>
  </si>
  <si>
    <t xml:space="preserve">XFHD35</t>
  </si>
  <si>
    <t xml:space="preserve">BPL HARMONY DUO CONVEX FLANGE 35MM</t>
  </si>
  <si>
    <t xml:space="preserve">XN1352</t>
  </si>
  <si>
    <t xml:space="preserve">BAG&amp;BPL NATURAL CONVEX CLOSED 13-52</t>
  </si>
  <si>
    <t xml:space="preserve">XN25</t>
  </si>
  <si>
    <t xml:space="preserve">BAG&amp;BPL NATURAL CONVEX CLOSED 25MM</t>
  </si>
  <si>
    <t xml:space="preserve">XND1338</t>
  </si>
  <si>
    <t xml:space="preserve">BAG&amp;BPL NATURAL CONVEX DRAINABLE  13MM- 38MM</t>
  </si>
  <si>
    <t xml:space="preserve">XND25</t>
  </si>
  <si>
    <t xml:space="preserve">BAG&amp;BPL NATURAL CONVEX DRAINABLE 25MM</t>
  </si>
  <si>
    <t xml:space="preserve">XND28</t>
  </si>
  <si>
    <t xml:space="preserve">BAG&amp;BPL NATURAL CONVEX DRAINABLE 28MM</t>
  </si>
  <si>
    <t xml:space="preserve">XND32</t>
  </si>
  <si>
    <t xml:space="preserve">BAG&amp;BPL NATURAL CONVEX DRAINABLE 32MM</t>
  </si>
  <si>
    <t xml:space="preserve">XND35</t>
  </si>
  <si>
    <t xml:space="preserve">BAG&amp;BPL NATURAL CONVEX DRAINABLE 35MM</t>
  </si>
  <si>
    <t xml:space="preserve">XNL1352</t>
  </si>
  <si>
    <t xml:space="preserve">BAG&amp;BPL NATURAL CONVEX CLOSED LGE 13-52</t>
  </si>
  <si>
    <t xml:space="preserve">GRAND TOTALS</t>
  </si>
  <si>
    <t xml:space="preserve">PBS TOTAL</t>
  </si>
  <si>
    <t xml:space="preserve">NON PBS TOTALS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</si>
</sst>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\$* #,##0.00_);_(\$* \(#,##0.00\);_(\$* \-??_);_(@_)"/>
    <numFmt numFmtId="166" formatCode="_-\$* #,##0.00_-;&quot;-$&quot;* #,##0.00_-;_-\$* \-??_-;_-@_-"/>
    <numFmt numFmtId="167" formatCode="General"/>
    <numFmt numFmtId="168" formatCode="@"/>
    <numFmt numFmtId="169" formatCode="#.00"/>
  </numFmts>
  <fonts count="1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</font>
    <font>
      <b val="true"/>
      <sz val="15"/>
      <name val="Arial"/>
      <family val="2"/>
      <charset val="1"/>
    </font>
    <font>
      <b val="true"/>
      <sz val="13"/>
      <name val="Arial"/>
      <family val="2"/>
      <charset val="1"/>
    </font>
    <font>
      <sz val="10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  <font>
      <b val="true"/>
      <sz val="12"/>
      <color rgb="FF000000"/>
      <name val="Tahoma"/>
      <family val="2"/>
      <charset val="1"/>
    </font>
    <font>
      <b val="true"/>
      <sz val="14"/>
      <color rgb="FF000000"/>
      <name val="Tahoma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2CE4E0"/>
        <bgColor rgb="FF00CCFF"/>
      </patternFill>
    </fill>
    <fill>
      <patternFill patternType="solid">
        <fgColor theme="7" tint="0.3999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D850CE"/>
        <bgColor rgb="FFD030C5"/>
      </patternFill>
    </fill>
    <fill>
      <patternFill patternType="solid">
        <fgColor rgb="FFD030C5"/>
        <bgColor rgb="FFD850CE"/>
      </patternFill>
    </fill>
    <fill>
      <patternFill patternType="solid">
        <fgColor rgb="FFFF0D0D"/>
        <bgColor rgb="FFFF0000"/>
      </patternFill>
    </fill>
    <fill>
      <patternFill patternType="solid">
        <fgColor rgb="FFFF0000"/>
        <bgColor rgb="FFFF0D0D"/>
      </patternFill>
    </fill>
    <fill>
      <patternFill patternType="solid">
        <fgColor rgb="FF00B050"/>
        <bgColor rgb="FF008080"/>
      </patternFill>
    </fill>
    <fill>
      <patternFill patternType="solid">
        <fgColor theme="9" tint="-0.25"/>
        <bgColor rgb="FFFF9900"/>
      </patternFill>
    </fill>
    <fill>
      <patternFill patternType="solid">
        <fgColor theme="5" tint="0.5999"/>
        <bgColor rgb="FFFFCC99"/>
      </patternFill>
    </fill>
    <fill>
      <patternFill patternType="solid">
        <fgColor rgb="FF0070C0"/>
        <bgColor rgb="FF00808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6" fontId="11" fillId="0" borderId="2" xfId="17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6" fontId="10" fillId="0" borderId="1" xfId="17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6" fontId="0" fillId="2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7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8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9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0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1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11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1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1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2" borderId="3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2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2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2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17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6" fontId="8" fillId="12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6" fillId="12" borderId="3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6" fontId="9" fillId="4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5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3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13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3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3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4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17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8" fillId="9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12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1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0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12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3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6" xfId="17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6" fontId="8" fillId="9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8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6" fontId="11" fillId="0" borderId="1" xfId="17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1" borderId="7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8" fontId="14" fillId="11" borderId="7" xfId="0" applyFont="true" applyBorder="true" applyAlignment="true" applyProtection="false">
      <alignment horizontal="general" vertical="center" textRotation="0" wrapText="true" indent="0" shrinkToFit="true" readingOrder="1"/>
      <protection locked="true" hidden="false"/>
    </xf>
    <xf numFmtId="166" fontId="14" fillId="11" borderId="7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4" fillId="11" borderId="7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7" fillId="11" borderId="2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7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7" fontId="8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11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8" fontId="15" fillId="11" borderId="8" xfId="0" applyFont="true" applyBorder="true" applyAlignment="true" applyProtection="false">
      <alignment horizontal="general" vertical="center" textRotation="0" wrapText="true" indent="0" shrinkToFit="true" readingOrder="1"/>
      <protection locked="true" hidden="false"/>
    </xf>
    <xf numFmtId="166" fontId="15" fillId="11" borderId="8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5" fillId="11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7" fillId="11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8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8" fontId="14" fillId="11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8" fontId="14" fillId="11" borderId="8" xfId="0" applyFont="true" applyBorder="true" applyAlignment="true" applyProtection="false">
      <alignment horizontal="general" vertical="center" textRotation="0" wrapText="true" indent="0" shrinkToFit="true" readingOrder="1"/>
      <protection locked="true" hidden="false"/>
    </xf>
    <xf numFmtId="166" fontId="14" fillId="11" borderId="8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4" fillId="11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8" fontId="14" fillId="3" borderId="8" xfId="0" applyFont="true" applyBorder="true" applyAlignment="true" applyProtection="false">
      <alignment horizontal="left" vertical="center" textRotation="0" wrapText="true" indent="0" shrinkToFit="true" readingOrder="1"/>
      <protection locked="true" hidden="false"/>
    </xf>
    <xf numFmtId="168" fontId="14" fillId="3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14" fillId="3" borderId="8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4" fillId="3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9" fillId="3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14" borderId="8" xfId="0" applyFont="true" applyBorder="true" applyAlignment="true" applyProtection="false">
      <alignment horizontal="left" vertical="center" textRotation="0" wrapText="true" indent="0" shrinkToFit="true" readingOrder="1"/>
      <protection locked="true" hidden="false"/>
    </xf>
    <xf numFmtId="168" fontId="14" fillId="14" borderId="8" xfId="0" applyFont="true" applyBorder="true" applyAlignment="true" applyProtection="false">
      <alignment horizontal="general" vertical="center" textRotation="0" wrapText="true" indent="0" shrinkToFit="true" readingOrder="1"/>
      <protection locked="true" hidden="false"/>
    </xf>
    <xf numFmtId="168" fontId="14" fillId="14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14" fillId="14" borderId="8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4" fillId="14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9" fillId="14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4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14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12" borderId="8" xfId="0" applyFont="true" applyBorder="true" applyAlignment="true" applyProtection="false">
      <alignment horizontal="left" vertical="center" textRotation="0" wrapText="true" indent="0" shrinkToFit="true" readingOrder="1"/>
      <protection locked="true" hidden="false"/>
    </xf>
    <xf numFmtId="168" fontId="14" fillId="12" borderId="8" xfId="0" applyFont="true" applyBorder="true" applyAlignment="true" applyProtection="false">
      <alignment horizontal="general" vertical="center" textRotation="0" wrapText="true" indent="0" shrinkToFit="true" readingOrder="1"/>
      <protection locked="true" hidden="false"/>
    </xf>
    <xf numFmtId="168" fontId="14" fillId="12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14" fillId="12" borderId="8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4" fillId="12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9" fillId="12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12" borderId="8" xfId="0" applyFont="true" applyBorder="true" applyAlignment="true" applyProtection="false">
      <alignment horizontal="right" vertical="center" textRotation="0" wrapText="true" indent="0" shrinkToFit="true" readingOrder="1"/>
      <protection locked="true" hidden="false"/>
    </xf>
    <xf numFmtId="166" fontId="7" fillId="12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10" borderId="8" xfId="0" applyFont="true" applyBorder="true" applyAlignment="true" applyProtection="false">
      <alignment horizontal="left" vertical="center" textRotation="0" wrapText="true" indent="0" shrinkToFit="true" readingOrder="1"/>
      <protection locked="true" hidden="false"/>
    </xf>
    <xf numFmtId="168" fontId="14" fillId="10" borderId="8" xfId="0" applyFont="true" applyBorder="true" applyAlignment="true" applyProtection="false">
      <alignment horizontal="general" vertical="center" textRotation="0" wrapText="true" indent="0" shrinkToFit="true" readingOrder="1"/>
      <protection locked="true" hidden="false"/>
    </xf>
    <xf numFmtId="168" fontId="14" fillId="10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14" fillId="10" borderId="8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4" fillId="10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9" fillId="10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10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5" fillId="10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8" fontId="14" fillId="4" borderId="8" xfId="0" applyFont="true" applyBorder="true" applyAlignment="true" applyProtection="false">
      <alignment horizontal="left" vertical="center" textRotation="0" wrapText="true" indent="0" shrinkToFit="true" readingOrder="1"/>
      <protection locked="true" hidden="false"/>
    </xf>
    <xf numFmtId="168" fontId="14" fillId="4" borderId="8" xfId="0" applyFont="true" applyBorder="true" applyAlignment="true" applyProtection="false">
      <alignment horizontal="general" vertical="center" textRotation="0" wrapText="true" indent="0" shrinkToFit="true" readingOrder="1"/>
      <protection locked="true" hidden="false"/>
    </xf>
    <xf numFmtId="168" fontId="14" fillId="4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14" fillId="4" borderId="8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4" fillId="4" borderId="9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8" fontId="14" fillId="4" borderId="10" xfId="0" applyFont="true" applyBorder="true" applyAlignment="true" applyProtection="false">
      <alignment horizontal="left" vertical="center" textRotation="0" wrapText="true" indent="0" shrinkToFit="true" readingOrder="1"/>
      <protection locked="true" hidden="false"/>
    </xf>
    <xf numFmtId="168" fontId="14" fillId="4" borderId="10" xfId="0" applyFont="true" applyBorder="true" applyAlignment="true" applyProtection="false">
      <alignment horizontal="general" vertical="center" textRotation="0" wrapText="true" indent="0" shrinkToFit="true" readingOrder="1"/>
      <protection locked="true" hidden="false"/>
    </xf>
    <xf numFmtId="166" fontId="14" fillId="4" borderId="10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4" fillId="4" borderId="11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2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3" xfId="0" applyFont="true" applyBorder="true" applyAlignment="true" applyProtection="false">
      <alignment horizontal="left" vertical="center" textRotation="0" wrapText="true" indent="0" shrinkToFit="true" readingOrder="1"/>
      <protection locked="true" hidden="false"/>
    </xf>
    <xf numFmtId="168" fontId="15" fillId="0" borderId="3" xfId="0" applyFont="true" applyBorder="true" applyAlignment="true" applyProtection="false">
      <alignment horizontal="general" vertical="center" textRotation="0" wrapText="true" indent="0" shrinkToFit="true" readingOrder="1"/>
      <protection locked="true" hidden="false"/>
    </xf>
    <xf numFmtId="168" fontId="15" fillId="0" borderId="3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15" fillId="0" borderId="3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8" fontId="16" fillId="0" borderId="3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8" fontId="14" fillId="6" borderId="8" xfId="0" applyFont="true" applyBorder="true" applyAlignment="true" applyProtection="false">
      <alignment horizontal="left" vertical="center" textRotation="0" wrapText="true" indent="0" shrinkToFit="true" readingOrder="1"/>
      <protection locked="true" hidden="false"/>
    </xf>
    <xf numFmtId="168" fontId="14" fillId="6" borderId="8" xfId="0" applyFont="true" applyBorder="true" applyAlignment="true" applyProtection="false">
      <alignment horizontal="general" vertical="center" textRotation="0" wrapText="true" indent="0" shrinkToFit="true" readingOrder="1"/>
      <protection locked="true" hidden="false"/>
    </xf>
    <xf numFmtId="168" fontId="14" fillId="6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14" fillId="6" borderId="8" xfId="17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4" fontId="14" fillId="6" borderId="8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9" fillId="6" borderId="3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3" xfId="0" applyFont="true" applyBorder="true" applyAlignment="true" applyProtection="false">
      <alignment horizontal="general" vertical="center" textRotation="0" wrapText="true" indent="0" shrinkToFit="true" readingOrder="1"/>
      <protection locked="true" hidden="false"/>
    </xf>
    <xf numFmtId="166" fontId="10" fillId="0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3" xfId="0" applyFont="true" applyBorder="true" applyAlignment="true" applyProtection="false">
      <alignment horizontal="center" vertical="center" textRotation="0" wrapText="true" indent="0" shrinkToFit="true" readingOrder="1"/>
      <protection locked="true" hidden="false"/>
    </xf>
    <xf numFmtId="166" fontId="11" fillId="0" borderId="3" xfId="17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78787"/>
      <rgbColor rgb="FF9999FF"/>
      <rgbColor rgb="FFD030C5"/>
      <rgbColor rgb="FFFFFFCC"/>
      <rgbColor rgb="FFCCFFFF"/>
      <rgbColor rgb="FF660066"/>
      <rgbColor rgb="FFD850CE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2CE4E0"/>
      <rgbColor rgb="FF92D050"/>
      <rgbColor rgb="FFFFCC00"/>
      <rgbColor rgb="FFFF9900"/>
      <rgbColor rgb="FFE46C0A"/>
      <rgbColor rgb="FF4F81BD"/>
      <rgbColor rgb="FF969696"/>
      <rgbColor rgb="FF003366"/>
      <rgbColor rgb="FF00B050"/>
      <rgbColor rgb="FF003300"/>
      <rgbColor rgb="FF333300"/>
      <rgbColor rgb="FFFF0D0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Sheet1!#REF!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50"/>
        <c:overlap val="0"/>
        <c:axId val="33877221"/>
        <c:axId val="8735634"/>
      </c:barChart>
      <c:catAx>
        <c:axId val="3387722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5634"/>
        <c:crosses val="autoZero"/>
        <c:auto val="1"/>
        <c:lblAlgn val="ctr"/>
        <c:lblOffset val="100"/>
        <c:noMultiLvlLbl val="0"/>
      </c:catAx>
      <c:valAx>
        <c:axId val="8735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772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984631145529251"/>
          <c:y val="0.494488188976378"/>
          <c:w val="0.00819671468459182"/>
          <c:h val="0.006299212598425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34" activeCellId="0" sqref="I534"/>
    </sheetView>
  </sheetViews>
  <sheetFormatPr defaultColWidth="8.6796875" defaultRowHeight="18.75" zeroHeight="false" outlineLevelRow="0" outlineLevelCol="0"/>
  <cols>
    <col collapsed="false" customWidth="true" hidden="false" outlineLevel="0" max="1" min="1" style="1" width="19.33"/>
    <col collapsed="false" customWidth="true" hidden="false" outlineLevel="0" max="2" min="2" style="2" width="37.34"/>
    <col collapsed="false" customWidth="true" hidden="false" outlineLevel="0" max="3" min="3" style="2" width="7.33"/>
    <col collapsed="false" customWidth="true" hidden="false" outlineLevel="0" max="4" min="4" style="3" width="13.11"/>
    <col collapsed="false" customWidth="true" hidden="false" outlineLevel="0" max="5" min="5" style="4" width="9.56"/>
    <col collapsed="false" customWidth="true" hidden="true" outlineLevel="0" max="6" min="6" style="5" width="2.44"/>
    <col collapsed="false" customWidth="true" hidden="false" outlineLevel="0" max="7" min="7" style="4" width="12.56"/>
    <col collapsed="false" customWidth="true" hidden="false" outlineLevel="0" max="8" min="8" style="4" width="16.89"/>
    <col collapsed="false" customWidth="true" hidden="false" outlineLevel="0" max="9" min="9" style="6" width="17.44"/>
    <col collapsed="false" customWidth="true" hidden="false" outlineLevel="0" max="10" min="10" style="7" width="20.33"/>
    <col collapsed="false" customWidth="true" hidden="false" outlineLevel="0" max="12" min="11" style="0" width="18.88"/>
  </cols>
  <sheetData>
    <row r="1" customFormat="false" ht="19.5" hidden="false" customHeight="true" outlineLevel="0" collapsed="false">
      <c r="A1" s="8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11" t="s">
        <v>6</v>
      </c>
      <c r="H1" s="13" t="s">
        <v>7</v>
      </c>
      <c r="I1" s="14" t="s">
        <v>8</v>
      </c>
      <c r="J1" s="15" t="s">
        <v>9</v>
      </c>
      <c r="K1" s="16" t="s">
        <v>10</v>
      </c>
      <c r="L1" s="16" t="s">
        <v>11</v>
      </c>
    </row>
    <row r="2" customFormat="false" ht="18.75" hidden="false" customHeight="false" outlineLevel="0" collapsed="false">
      <c r="A2" s="17"/>
      <c r="B2" s="18"/>
      <c r="C2" s="18"/>
      <c r="D2" s="19"/>
      <c r="E2" s="20"/>
      <c r="F2" s="21"/>
      <c r="G2" s="20"/>
      <c r="H2" s="22"/>
      <c r="I2" s="14"/>
      <c r="J2" s="23" t="n">
        <f aca="false">D2*G2</f>
        <v>0</v>
      </c>
    </row>
    <row r="3" customFormat="false" ht="18.75" hidden="false" customHeight="false" outlineLevel="0" collapsed="false">
      <c r="A3" s="24" t="n">
        <v>12020</v>
      </c>
      <c r="B3" s="25" t="s">
        <v>12</v>
      </c>
      <c r="C3" s="25" t="s">
        <v>13</v>
      </c>
      <c r="D3" s="26" t="n">
        <v>26.25</v>
      </c>
      <c r="E3" s="27" t="n">
        <v>22</v>
      </c>
      <c r="F3" s="28" t="n">
        <f aca="false">D3*E3</f>
        <v>577.5</v>
      </c>
      <c r="G3" s="27" t="n">
        <v>21</v>
      </c>
      <c r="H3" s="27" t="n">
        <f aca="false">G3-E3</f>
        <v>-1</v>
      </c>
      <c r="I3" s="29" t="n">
        <f aca="false">D3*H3</f>
        <v>-26.25</v>
      </c>
      <c r="J3" s="30" t="n">
        <f aca="false">D3*G3</f>
        <v>551.25</v>
      </c>
    </row>
    <row r="4" customFormat="false" ht="18.75" hidden="false" customHeight="false" outlineLevel="0" collapsed="false">
      <c r="A4" s="31" t="n">
        <v>839026</v>
      </c>
      <c r="B4" s="32" t="s">
        <v>14</v>
      </c>
      <c r="C4" s="32" t="s">
        <v>15</v>
      </c>
      <c r="D4" s="33" t="n">
        <v>26.25</v>
      </c>
      <c r="E4" s="34" t="n">
        <v>13</v>
      </c>
      <c r="F4" s="35" t="n">
        <f aca="false">D4*E4</f>
        <v>341.25</v>
      </c>
      <c r="G4" s="34" t="n">
        <v>14</v>
      </c>
      <c r="H4" s="34" t="n">
        <f aca="false">G4-E4</f>
        <v>1</v>
      </c>
      <c r="I4" s="36" t="n">
        <f aca="false">D4*H4</f>
        <v>26.25</v>
      </c>
      <c r="J4" s="37" t="n">
        <f aca="false">D4*G4</f>
        <v>367.5</v>
      </c>
    </row>
    <row r="5" customFormat="false" ht="18.75" hidden="false" customHeight="false" outlineLevel="0" collapsed="false">
      <c r="A5" s="31" t="s">
        <v>16</v>
      </c>
      <c r="B5" s="32" t="s">
        <v>17</v>
      </c>
      <c r="C5" s="32" t="s">
        <v>15</v>
      </c>
      <c r="D5" s="33" t="n">
        <v>26.25</v>
      </c>
      <c r="E5" s="34" t="n">
        <v>14</v>
      </c>
      <c r="F5" s="35" t="n">
        <f aca="false">D5*E5</f>
        <v>367.5</v>
      </c>
      <c r="G5" s="34" t="n">
        <v>11</v>
      </c>
      <c r="H5" s="34" t="n">
        <f aca="false">G5-E5</f>
        <v>-3</v>
      </c>
      <c r="I5" s="36" t="n">
        <f aca="false">D5*H5</f>
        <v>-78.75</v>
      </c>
      <c r="J5" s="37" t="n">
        <f aca="false">D5*G5</f>
        <v>288.75</v>
      </c>
    </row>
    <row r="6" customFormat="false" ht="18.75" hidden="false" customHeight="false" outlineLevel="0" collapsed="false">
      <c r="A6" s="24" t="n">
        <v>12021</v>
      </c>
      <c r="B6" s="25" t="s">
        <v>18</v>
      </c>
      <c r="C6" s="25" t="s">
        <v>13</v>
      </c>
      <c r="D6" s="26" t="n">
        <v>8.7</v>
      </c>
      <c r="E6" s="27" t="n">
        <v>138</v>
      </c>
      <c r="F6" s="28" t="n">
        <f aca="false">D6*E6</f>
        <v>1200.6</v>
      </c>
      <c r="G6" s="27" t="n">
        <v>138</v>
      </c>
      <c r="H6" s="27" t="n">
        <f aca="false">G6-E6</f>
        <v>0</v>
      </c>
      <c r="I6" s="29" t="n">
        <f aca="false">D6*H6</f>
        <v>0</v>
      </c>
      <c r="J6" s="30" t="n">
        <f aca="false">D6*G6</f>
        <v>1200.6</v>
      </c>
    </row>
    <row r="7" customFormat="false" ht="18.75" hidden="false" customHeight="false" outlineLevel="0" collapsed="false">
      <c r="A7" s="38" t="n">
        <v>3346</v>
      </c>
      <c r="B7" s="39" t="s">
        <v>19</v>
      </c>
      <c r="C7" s="39" t="s">
        <v>20</v>
      </c>
      <c r="D7" s="40" t="n">
        <v>15.31</v>
      </c>
      <c r="E7" s="41" t="n">
        <v>101</v>
      </c>
      <c r="F7" s="35" t="n">
        <f aca="false">D7*E7</f>
        <v>1546.31</v>
      </c>
      <c r="G7" s="41" t="n">
        <v>94</v>
      </c>
      <c r="H7" s="41" t="n">
        <f aca="false">G7-E7</f>
        <v>-7</v>
      </c>
      <c r="I7" s="42" t="n">
        <f aca="false">D7*H7</f>
        <v>-107.17</v>
      </c>
      <c r="J7" s="43" t="n">
        <f aca="false">D7*G7</f>
        <v>1439.14</v>
      </c>
    </row>
    <row r="8" customFormat="false" ht="18.75" hidden="false" customHeight="false" outlineLevel="0" collapsed="false">
      <c r="A8" s="44" t="s">
        <v>21</v>
      </c>
      <c r="B8" s="45" t="s">
        <v>22</v>
      </c>
      <c r="C8" s="45" t="s">
        <v>23</v>
      </c>
      <c r="D8" s="46" t="n">
        <v>8.7</v>
      </c>
      <c r="E8" s="47" t="n">
        <v>24</v>
      </c>
      <c r="F8" s="35" t="n">
        <f aca="false">D8*E8</f>
        <v>208.8</v>
      </c>
      <c r="G8" s="47" t="n">
        <v>25</v>
      </c>
      <c r="H8" s="47" t="n">
        <f aca="false">G8-E8</f>
        <v>1</v>
      </c>
      <c r="I8" s="48" t="n">
        <f aca="false">D8*H8</f>
        <v>8.7</v>
      </c>
      <c r="J8" s="49" t="n">
        <f aca="false">D8*G8</f>
        <v>217.5</v>
      </c>
    </row>
    <row r="9" customFormat="false" ht="18.75" hidden="false" customHeight="false" outlineLevel="0" collapsed="false">
      <c r="A9" s="50" t="n">
        <v>423282</v>
      </c>
      <c r="B9" s="51" t="s">
        <v>24</v>
      </c>
      <c r="C9" s="51" t="s">
        <v>25</v>
      </c>
      <c r="D9" s="52" t="n">
        <v>8.7</v>
      </c>
      <c r="E9" s="53" t="n">
        <v>12</v>
      </c>
      <c r="F9" s="35" t="n">
        <f aca="false">D9*E9</f>
        <v>104.4</v>
      </c>
      <c r="G9" s="54" t="n">
        <v>12</v>
      </c>
      <c r="H9" s="54" t="n">
        <f aca="false">G9-E9</f>
        <v>0</v>
      </c>
      <c r="I9" s="55" t="n">
        <f aca="false">D9*H9</f>
        <v>0</v>
      </c>
      <c r="J9" s="56" t="n">
        <f aca="false">D9*G9</f>
        <v>104.4</v>
      </c>
    </row>
    <row r="10" customFormat="false" ht="18.75" hidden="false" customHeight="false" outlineLevel="0" collapsed="false">
      <c r="A10" s="57" t="n">
        <v>7917</v>
      </c>
      <c r="B10" s="58" t="s">
        <v>26</v>
      </c>
      <c r="C10" s="58" t="s">
        <v>27</v>
      </c>
      <c r="D10" s="59" t="n">
        <v>14.5</v>
      </c>
      <c r="E10" s="60" t="n">
        <v>15</v>
      </c>
      <c r="F10" s="35" t="n">
        <f aca="false">D10*E10</f>
        <v>217.5</v>
      </c>
      <c r="G10" s="60" t="n">
        <v>21</v>
      </c>
      <c r="H10" s="61" t="n">
        <f aca="false">G10-E10</f>
        <v>6</v>
      </c>
      <c r="I10" s="62" t="n">
        <f aca="false">D10*H10</f>
        <v>87</v>
      </c>
      <c r="J10" s="63" t="n">
        <f aca="false">D10*G10</f>
        <v>304.5</v>
      </c>
    </row>
    <row r="11" customFormat="false" ht="18.75" hidden="false" customHeight="false" outlineLevel="0" collapsed="false">
      <c r="A11" s="50" t="n">
        <v>423286</v>
      </c>
      <c r="B11" s="51" t="s">
        <v>28</v>
      </c>
      <c r="C11" s="51" t="s">
        <v>25</v>
      </c>
      <c r="D11" s="52" t="n">
        <v>26.25</v>
      </c>
      <c r="E11" s="53" t="n">
        <v>17</v>
      </c>
      <c r="F11" s="35"/>
      <c r="G11" s="54" t="n">
        <v>16</v>
      </c>
      <c r="H11" s="54" t="n">
        <f aca="false">G11-E11</f>
        <v>-1</v>
      </c>
      <c r="I11" s="55" t="n">
        <f aca="false">D11*H11</f>
        <v>-26.25</v>
      </c>
      <c r="J11" s="64" t="n">
        <f aca="false">D11*G11</f>
        <v>420</v>
      </c>
    </row>
    <row r="12" customFormat="false" ht="18.75" hidden="false" customHeight="false" outlineLevel="0" collapsed="false">
      <c r="A12" s="65" t="n">
        <v>5036</v>
      </c>
      <c r="B12" s="66" t="s">
        <v>29</v>
      </c>
      <c r="C12" s="66" t="s">
        <v>30</v>
      </c>
      <c r="D12" s="67" t="n">
        <v>14.7</v>
      </c>
      <c r="E12" s="68" t="n">
        <v>34</v>
      </c>
      <c r="F12" s="69" t="n">
        <f aca="false">D12*E12</f>
        <v>499.8</v>
      </c>
      <c r="G12" s="68" t="n">
        <v>35</v>
      </c>
      <c r="H12" s="68" t="n">
        <f aca="false">G12-E12</f>
        <v>1</v>
      </c>
      <c r="I12" s="70" t="n">
        <f aca="false">D12*H12</f>
        <v>14.7</v>
      </c>
      <c r="J12" s="71" t="n">
        <f aca="false">D12*G12</f>
        <v>514.5</v>
      </c>
    </row>
    <row r="13" customFormat="false" ht="18.75" hidden="false" customHeight="false" outlineLevel="0" collapsed="false">
      <c r="A13" s="31" t="s">
        <v>31</v>
      </c>
      <c r="B13" s="32" t="s">
        <v>32</v>
      </c>
      <c r="C13" s="32" t="s">
        <v>15</v>
      </c>
      <c r="D13" s="33" t="n">
        <v>17.4</v>
      </c>
      <c r="E13" s="34" t="n">
        <v>91</v>
      </c>
      <c r="F13" s="35" t="n">
        <f aca="false">D13*E13</f>
        <v>1583.4</v>
      </c>
      <c r="G13" s="34" t="n">
        <v>90</v>
      </c>
      <c r="H13" s="34" t="n">
        <f aca="false">G13-E13</f>
        <v>-1</v>
      </c>
      <c r="I13" s="36" t="n">
        <f aca="false">D13*H13</f>
        <v>-17.4</v>
      </c>
      <c r="J13" s="37" t="n">
        <f aca="false">D13*G13</f>
        <v>1566</v>
      </c>
    </row>
    <row r="14" customFormat="false" ht="18.75" hidden="false" customHeight="false" outlineLevel="0" collapsed="false">
      <c r="A14" s="65" t="n">
        <v>2022300</v>
      </c>
      <c r="B14" s="66" t="s">
        <v>33</v>
      </c>
      <c r="C14" s="66" t="s">
        <v>30</v>
      </c>
      <c r="D14" s="67" t="n">
        <v>29.16</v>
      </c>
      <c r="E14" s="68" t="n">
        <v>35</v>
      </c>
      <c r="F14" s="69" t="n">
        <f aca="false">D14*E14</f>
        <v>1020.6</v>
      </c>
      <c r="G14" s="68" t="n">
        <v>38</v>
      </c>
      <c r="H14" s="68" t="n">
        <f aca="false">G14-E14</f>
        <v>3</v>
      </c>
      <c r="I14" s="70" t="n">
        <f aca="false">D14*H14</f>
        <v>87.48</v>
      </c>
      <c r="J14" s="71" t="n">
        <f aca="false">D14*G14</f>
        <v>1108.08</v>
      </c>
    </row>
    <row r="15" customFormat="false" ht="18.75" hidden="false" customHeight="false" outlineLevel="0" collapsed="false">
      <c r="A15" s="31" t="s">
        <v>34</v>
      </c>
      <c r="B15" s="72" t="s">
        <v>35</v>
      </c>
      <c r="C15" s="32" t="s">
        <v>15</v>
      </c>
      <c r="D15" s="33" t="n">
        <v>28.56</v>
      </c>
      <c r="E15" s="34" t="n">
        <v>34</v>
      </c>
      <c r="F15" s="35" t="n">
        <f aca="false">D15*E15</f>
        <v>971.04</v>
      </c>
      <c r="G15" s="34" t="n">
        <v>35</v>
      </c>
      <c r="H15" s="34" t="n">
        <f aca="false">G15-E15</f>
        <v>1</v>
      </c>
      <c r="I15" s="36" t="n">
        <f aca="false">D15*H15</f>
        <v>28.56</v>
      </c>
      <c r="J15" s="37" t="n">
        <f aca="false">D15*G15</f>
        <v>999.6</v>
      </c>
    </row>
    <row r="16" customFormat="false" ht="18.75" hidden="false" customHeight="false" outlineLevel="0" collapsed="false">
      <c r="A16" s="24" t="n">
        <v>12072</v>
      </c>
      <c r="B16" s="25" t="s">
        <v>36</v>
      </c>
      <c r="C16" s="25" t="s">
        <v>13</v>
      </c>
      <c r="D16" s="26" t="n">
        <v>29.16</v>
      </c>
      <c r="E16" s="27" t="n">
        <v>18</v>
      </c>
      <c r="F16" s="35" t="n">
        <f aca="false">D16*E16</f>
        <v>524.88</v>
      </c>
      <c r="G16" s="27" t="n">
        <v>18</v>
      </c>
      <c r="H16" s="27" t="n">
        <f aca="false">G16-E16</f>
        <v>0</v>
      </c>
      <c r="I16" s="29" t="n">
        <f aca="false">D16*H16</f>
        <v>0</v>
      </c>
      <c r="J16" s="30" t="n">
        <f aca="false">D16*G16</f>
        <v>524.88</v>
      </c>
    </row>
    <row r="17" customFormat="false" ht="18.75" hidden="false" customHeight="false" outlineLevel="0" collapsed="false">
      <c r="A17" s="44" t="s">
        <v>37</v>
      </c>
      <c r="B17" s="45" t="s">
        <v>38</v>
      </c>
      <c r="C17" s="45" t="s">
        <v>39</v>
      </c>
      <c r="D17" s="46" t="n">
        <v>43.74</v>
      </c>
      <c r="E17" s="47" t="n">
        <v>26</v>
      </c>
      <c r="F17" s="35" t="n">
        <f aca="false">D17*E17</f>
        <v>1137.24</v>
      </c>
      <c r="G17" s="47" t="n">
        <v>29</v>
      </c>
      <c r="H17" s="47" t="n">
        <f aca="false">G17-E17</f>
        <v>3</v>
      </c>
      <c r="I17" s="48" t="n">
        <f aca="false">D17*H17</f>
        <v>131.22</v>
      </c>
      <c r="J17" s="49" t="n">
        <f aca="false">D17*G17</f>
        <v>1268.46</v>
      </c>
    </row>
    <row r="18" customFormat="false" ht="18.75" hidden="false" customHeight="false" outlineLevel="0" collapsed="false">
      <c r="A18" s="31" t="s">
        <v>40</v>
      </c>
      <c r="B18" s="72" t="s">
        <v>41</v>
      </c>
      <c r="C18" s="32" t="s">
        <v>15</v>
      </c>
      <c r="D18" s="33" t="n">
        <v>28.56</v>
      </c>
      <c r="E18" s="34" t="n">
        <v>36</v>
      </c>
      <c r="F18" s="35" t="n">
        <f aca="false">D18*E18</f>
        <v>1028.16</v>
      </c>
      <c r="G18" s="34" t="n">
        <v>36</v>
      </c>
      <c r="H18" s="34" t="n">
        <f aca="false">G18-E18</f>
        <v>0</v>
      </c>
      <c r="I18" s="36" t="n">
        <f aca="false">D18*H18</f>
        <v>0</v>
      </c>
      <c r="J18" s="37" t="n">
        <f aca="false">D18*G18</f>
        <v>1028.16</v>
      </c>
    </row>
    <row r="19" customFormat="false" ht="18.75" hidden="false" customHeight="false" outlineLevel="0" collapsed="false">
      <c r="A19" s="24" t="n">
        <v>12074</v>
      </c>
      <c r="B19" s="25" t="s">
        <v>42</v>
      </c>
      <c r="C19" s="25" t="s">
        <v>13</v>
      </c>
      <c r="D19" s="26" t="n">
        <v>29.16</v>
      </c>
      <c r="E19" s="27" t="n">
        <v>9</v>
      </c>
      <c r="F19" s="35" t="n">
        <f aca="false">D19*E19</f>
        <v>262.44</v>
      </c>
      <c r="G19" s="27" t="n">
        <v>9</v>
      </c>
      <c r="H19" s="27" t="n">
        <f aca="false">G19-E19</f>
        <v>0</v>
      </c>
      <c r="I19" s="29" t="n">
        <f aca="false">D19*H19</f>
        <v>0</v>
      </c>
      <c r="J19" s="30" t="n">
        <f aca="false">D19*G19</f>
        <v>262.44</v>
      </c>
    </row>
    <row r="20" customFormat="false" ht="18.75" hidden="false" customHeight="false" outlineLevel="0" collapsed="false">
      <c r="A20" s="24" t="n">
        <v>12070</v>
      </c>
      <c r="B20" s="25" t="s">
        <v>43</v>
      </c>
      <c r="C20" s="25" t="s">
        <v>13</v>
      </c>
      <c r="D20" s="26" t="n">
        <v>29.16</v>
      </c>
      <c r="E20" s="27" t="n">
        <v>155</v>
      </c>
      <c r="F20" s="35" t="n">
        <f aca="false">D20*E20</f>
        <v>4519.8</v>
      </c>
      <c r="G20" s="27" t="n">
        <v>151</v>
      </c>
      <c r="H20" s="27" t="n">
        <f aca="false">G20-E20</f>
        <v>-4</v>
      </c>
      <c r="I20" s="29" t="n">
        <f aca="false">D20*H20</f>
        <v>-116.64</v>
      </c>
      <c r="J20" s="30" t="n">
        <f aca="false">D20*G20</f>
        <v>4403.16</v>
      </c>
    </row>
    <row r="21" customFormat="false" ht="18.75" hidden="false" customHeight="false" outlineLevel="0" collapsed="false">
      <c r="A21" s="73"/>
      <c r="B21" s="74"/>
      <c r="C21" s="74"/>
      <c r="D21" s="75"/>
      <c r="E21" s="76"/>
      <c r="F21" s="77" t="n">
        <f aca="false">D21*E21</f>
        <v>0</v>
      </c>
      <c r="G21" s="76"/>
      <c r="H21" s="76"/>
      <c r="I21" s="78"/>
      <c r="J21" s="23" t="n">
        <f aca="false">D21*G21</f>
        <v>0</v>
      </c>
    </row>
    <row r="22" customFormat="false" ht="18.75" hidden="false" customHeight="false" outlineLevel="0" collapsed="false">
      <c r="A22" s="44" t="s">
        <v>44</v>
      </c>
      <c r="B22" s="45" t="s">
        <v>38</v>
      </c>
      <c r="C22" s="45" t="s">
        <v>39</v>
      </c>
      <c r="D22" s="46" t="n">
        <v>43.74</v>
      </c>
      <c r="E22" s="47" t="n">
        <v>10</v>
      </c>
      <c r="F22" s="35" t="n">
        <f aca="false">D22*E22</f>
        <v>437.4</v>
      </c>
      <c r="G22" s="47" t="n">
        <v>10</v>
      </c>
      <c r="H22" s="47" t="n">
        <f aca="false">G22-E22</f>
        <v>0</v>
      </c>
      <c r="I22" s="48" t="n">
        <f aca="false">D22*H22</f>
        <v>0</v>
      </c>
      <c r="J22" s="49" t="n">
        <f aca="false">D22*G22</f>
        <v>437.4</v>
      </c>
    </row>
    <row r="23" customFormat="false" ht="18.75" hidden="false" customHeight="false" outlineLevel="0" collapsed="false">
      <c r="A23" s="79" t="s">
        <v>45</v>
      </c>
      <c r="B23" s="80" t="s">
        <v>46</v>
      </c>
      <c r="C23" s="80" t="s">
        <v>47</v>
      </c>
      <c r="D23" s="81" t="n">
        <v>43.74</v>
      </c>
      <c r="E23" s="82" t="n">
        <v>28</v>
      </c>
      <c r="F23" s="35" t="n">
        <f aca="false">D23*E23</f>
        <v>1224.72</v>
      </c>
      <c r="G23" s="82" t="n">
        <v>29</v>
      </c>
      <c r="H23" s="82" t="n">
        <f aca="false">G23-E23</f>
        <v>1</v>
      </c>
      <c r="I23" s="83" t="n">
        <f aca="false">D23*H23</f>
        <v>43.74</v>
      </c>
      <c r="J23" s="84" t="n">
        <f aca="false">D23*G23</f>
        <v>1268.46</v>
      </c>
    </row>
    <row r="24" customFormat="false" ht="18.75" hidden="false" customHeight="false" outlineLevel="0" collapsed="false">
      <c r="A24" s="57" t="n">
        <v>79402</v>
      </c>
      <c r="B24" s="58" t="s">
        <v>48</v>
      </c>
      <c r="C24" s="58" t="s">
        <v>27</v>
      </c>
      <c r="D24" s="59" t="n">
        <v>43.74</v>
      </c>
      <c r="E24" s="60" t="n">
        <v>20</v>
      </c>
      <c r="F24" s="35" t="n">
        <f aca="false">D24*E24</f>
        <v>874.8</v>
      </c>
      <c r="G24" s="60" t="n">
        <v>23</v>
      </c>
      <c r="H24" s="60" t="n">
        <f aca="false">G24-E24</f>
        <v>3</v>
      </c>
      <c r="I24" s="62" t="n">
        <f aca="false">D24*H24</f>
        <v>131.22</v>
      </c>
      <c r="J24" s="85" t="n">
        <f aca="false">D24*G24</f>
        <v>1006.02</v>
      </c>
    </row>
    <row r="25" customFormat="false" ht="18.75" hidden="false" customHeight="false" outlineLevel="0" collapsed="false">
      <c r="A25" s="31" t="s">
        <v>49</v>
      </c>
      <c r="B25" s="32" t="s">
        <v>50</v>
      </c>
      <c r="C25" s="32" t="s">
        <v>15</v>
      </c>
      <c r="D25" s="33" t="n">
        <v>28.56</v>
      </c>
      <c r="E25" s="34" t="n">
        <v>26</v>
      </c>
      <c r="F25" s="35" t="n">
        <f aca="false">D25*E25</f>
        <v>742.56</v>
      </c>
      <c r="G25" s="34" t="n">
        <v>25</v>
      </c>
      <c r="H25" s="34" t="n">
        <f aca="false">G25-E25</f>
        <v>-1</v>
      </c>
      <c r="I25" s="36" t="n">
        <f aca="false">D25*H25</f>
        <v>-28.56</v>
      </c>
      <c r="J25" s="37" t="n">
        <f aca="false">D25*G25</f>
        <v>714</v>
      </c>
    </row>
    <row r="26" customFormat="false" ht="18.75" hidden="false" customHeight="false" outlineLevel="0" collapsed="false">
      <c r="A26" s="24" t="n">
        <v>12076</v>
      </c>
      <c r="B26" s="25" t="s">
        <v>51</v>
      </c>
      <c r="C26" s="25" t="s">
        <v>13</v>
      </c>
      <c r="D26" s="26" t="n">
        <v>29.16</v>
      </c>
      <c r="E26" s="27" t="n">
        <v>82</v>
      </c>
      <c r="F26" s="28" t="n">
        <f aca="false">D26*E26</f>
        <v>2391.12</v>
      </c>
      <c r="G26" s="27" t="n">
        <v>76</v>
      </c>
      <c r="H26" s="27" t="n">
        <f aca="false">G26-E26</f>
        <v>-6</v>
      </c>
      <c r="I26" s="29" t="n">
        <f aca="false">D26*H26</f>
        <v>-174.96</v>
      </c>
      <c r="J26" s="30" t="n">
        <f aca="false">D26*G26</f>
        <v>2216.16</v>
      </c>
    </row>
    <row r="27" customFormat="false" ht="19.5" hidden="false" customHeight="true" outlineLevel="0" collapsed="false">
      <c r="A27" s="73"/>
      <c r="B27" s="74"/>
      <c r="C27" s="74"/>
      <c r="D27" s="75"/>
      <c r="E27" s="76"/>
      <c r="F27" s="77"/>
      <c r="G27" s="76"/>
      <c r="H27" s="86" t="s">
        <v>5</v>
      </c>
      <c r="I27" s="87" t="n">
        <f aca="false">SUM(I2:I26)</f>
        <v>-17.11</v>
      </c>
      <c r="J27" s="88" t="n">
        <f aca="false">SUM(J2:J26)</f>
        <v>22210.96</v>
      </c>
      <c r="K27" s="89" t="n">
        <f aca="false">I27</f>
        <v>-17.11</v>
      </c>
      <c r="L27" s="89" t="n">
        <f aca="false">J27</f>
        <v>22210.96</v>
      </c>
    </row>
    <row r="28" customFormat="false" ht="19.5" hidden="false" customHeight="true" outlineLevel="0" collapsed="false">
      <c r="A28" s="8" t="s">
        <v>0</v>
      </c>
      <c r="B28" s="9" t="s">
        <v>1</v>
      </c>
      <c r="C28" s="9" t="s">
        <v>2</v>
      </c>
      <c r="D28" s="10" t="s">
        <v>3</v>
      </c>
      <c r="E28" s="11" t="s">
        <v>4</v>
      </c>
      <c r="F28" s="12" t="s">
        <v>5</v>
      </c>
      <c r="G28" s="11" t="s">
        <v>6</v>
      </c>
      <c r="H28" s="13" t="s">
        <v>7</v>
      </c>
      <c r="I28" s="14" t="s">
        <v>8</v>
      </c>
      <c r="J28" s="90" t="s">
        <v>9</v>
      </c>
    </row>
    <row r="29" customFormat="false" ht="18.75" hidden="false" customHeight="false" outlineLevel="0" collapsed="false">
      <c r="A29" s="50" t="n">
        <v>183910</v>
      </c>
      <c r="B29" s="51" t="s">
        <v>52</v>
      </c>
      <c r="C29" s="51" t="s">
        <v>25</v>
      </c>
      <c r="D29" s="52" t="n">
        <v>11.28</v>
      </c>
      <c r="E29" s="53" t="n">
        <v>52</v>
      </c>
      <c r="F29" s="35" t="n">
        <f aca="false">D29*E29</f>
        <v>586.56</v>
      </c>
      <c r="G29" s="54" t="n">
        <v>40</v>
      </c>
      <c r="H29" s="54" t="n">
        <f aca="false">G29-E29</f>
        <v>-12</v>
      </c>
      <c r="I29" s="55" t="n">
        <f aca="false">D29*H29</f>
        <v>-135.36</v>
      </c>
      <c r="J29" s="56" t="n">
        <f aca="false">D29*G29</f>
        <v>451.2</v>
      </c>
    </row>
    <row r="30" customFormat="false" ht="18.75" hidden="false" customHeight="false" outlineLevel="0" collapsed="false">
      <c r="A30" s="57" t="n">
        <v>79300</v>
      </c>
      <c r="B30" s="58" t="s">
        <v>53</v>
      </c>
      <c r="C30" s="58" t="s">
        <v>27</v>
      </c>
      <c r="D30" s="59" t="n">
        <v>11.28</v>
      </c>
      <c r="E30" s="60" t="n">
        <v>21</v>
      </c>
      <c r="F30" s="35" t="n">
        <f aca="false">D30*E30</f>
        <v>236.88</v>
      </c>
      <c r="G30" s="60" t="n">
        <v>13</v>
      </c>
      <c r="H30" s="60" t="n">
        <f aca="false">G30-E30</f>
        <v>-8</v>
      </c>
      <c r="I30" s="62" t="n">
        <f aca="false">D30*H30</f>
        <v>-90.24</v>
      </c>
      <c r="J30" s="85" t="n">
        <f aca="false">D30*G30</f>
        <v>146.64</v>
      </c>
    </row>
    <row r="31" customFormat="false" ht="18.75" hidden="false" customHeight="false" outlineLevel="0" collapsed="false">
      <c r="A31" s="44" t="s">
        <v>54</v>
      </c>
      <c r="B31" s="45" t="s">
        <v>55</v>
      </c>
      <c r="C31" s="45" t="s">
        <v>23</v>
      </c>
      <c r="D31" s="46" t="n">
        <v>11.28</v>
      </c>
      <c r="E31" s="47" t="n">
        <v>4</v>
      </c>
      <c r="F31" s="35" t="n">
        <f aca="false">D31*E31</f>
        <v>45.12</v>
      </c>
      <c r="G31" s="47" t="n">
        <v>4</v>
      </c>
      <c r="H31" s="47" t="n">
        <f aca="false">G31-E31</f>
        <v>0</v>
      </c>
      <c r="I31" s="48" t="n">
        <f aca="false">D31*H31</f>
        <v>0</v>
      </c>
      <c r="J31" s="49" t="n">
        <f aca="false">D31*G31</f>
        <v>45.12</v>
      </c>
    </row>
    <row r="32" customFormat="false" ht="18.75" hidden="false" customHeight="false" outlineLevel="0" collapsed="false">
      <c r="A32" s="24" t="n">
        <v>2655</v>
      </c>
      <c r="B32" s="25" t="s">
        <v>56</v>
      </c>
      <c r="C32" s="25" t="s">
        <v>13</v>
      </c>
      <c r="D32" s="26" t="n">
        <v>11.28</v>
      </c>
      <c r="E32" s="27" t="n">
        <v>7</v>
      </c>
      <c r="F32" s="35" t="n">
        <f aca="false">D32*E32</f>
        <v>78.96</v>
      </c>
      <c r="G32" s="27" t="n">
        <v>7</v>
      </c>
      <c r="H32" s="27" t="n">
        <f aca="false">G32-E32</f>
        <v>0</v>
      </c>
      <c r="I32" s="29" t="n">
        <f aca="false">D32*H32</f>
        <v>0</v>
      </c>
      <c r="J32" s="30" t="n">
        <f aca="false">D32*G32</f>
        <v>78.96</v>
      </c>
    </row>
    <row r="33" customFormat="false" ht="18.75" hidden="false" customHeight="false" outlineLevel="0" collapsed="false">
      <c r="A33" s="79" t="s">
        <v>57</v>
      </c>
      <c r="B33" s="80" t="s">
        <v>58</v>
      </c>
      <c r="C33" s="80" t="s">
        <v>47</v>
      </c>
      <c r="D33" s="91" t="n">
        <v>11.28</v>
      </c>
      <c r="E33" s="82" t="n">
        <v>12</v>
      </c>
      <c r="F33" s="35" t="n">
        <f aca="false">D33*E33</f>
        <v>135.36</v>
      </c>
      <c r="G33" s="82" t="n">
        <v>12</v>
      </c>
      <c r="H33" s="82" t="n">
        <f aca="false">G33-E33</f>
        <v>0</v>
      </c>
      <c r="I33" s="83" t="n">
        <f aca="false">D33*H33</f>
        <v>0</v>
      </c>
      <c r="J33" s="84" t="n">
        <f aca="false">D33*G33</f>
        <v>135.36</v>
      </c>
    </row>
    <row r="34" customFormat="false" ht="18.75" hidden="false" customHeight="false" outlineLevel="0" collapsed="false">
      <c r="A34" s="44" t="s">
        <v>59</v>
      </c>
      <c r="B34" s="45" t="s">
        <v>60</v>
      </c>
      <c r="C34" s="45" t="s">
        <v>23</v>
      </c>
      <c r="D34" s="46" t="n">
        <v>11.28</v>
      </c>
      <c r="E34" s="47" t="n">
        <v>6</v>
      </c>
      <c r="F34" s="35" t="n">
        <f aca="false">D34*E34</f>
        <v>67.68</v>
      </c>
      <c r="G34" s="47" t="n">
        <v>6</v>
      </c>
      <c r="H34" s="47" t="n">
        <f aca="false">G34-E34</f>
        <v>0</v>
      </c>
      <c r="I34" s="48" t="n">
        <f aca="false">D34*H34</f>
        <v>0</v>
      </c>
      <c r="J34" s="49" t="n">
        <f aca="false">D34*G34</f>
        <v>67.68</v>
      </c>
    </row>
    <row r="35" customFormat="false" ht="18.75" hidden="false" customHeight="false" outlineLevel="0" collapsed="false">
      <c r="A35" s="31" t="n">
        <v>839010</v>
      </c>
      <c r="B35" s="32" t="s">
        <v>61</v>
      </c>
      <c r="C35" s="32" t="s">
        <v>15</v>
      </c>
      <c r="D35" s="33" t="n">
        <v>11.28</v>
      </c>
      <c r="E35" s="34" t="n">
        <v>7</v>
      </c>
      <c r="F35" s="35" t="n">
        <f aca="false">D35*E35</f>
        <v>78.96</v>
      </c>
      <c r="G35" s="34" t="n">
        <v>17</v>
      </c>
      <c r="H35" s="34" t="n">
        <f aca="false">G35-E35</f>
        <v>10</v>
      </c>
      <c r="I35" s="36" t="n">
        <f aca="false">D35*H35</f>
        <v>112.8</v>
      </c>
      <c r="J35" s="37" t="n">
        <f aca="false">D35*G35</f>
        <v>191.76</v>
      </c>
    </row>
    <row r="36" customFormat="false" ht="18.75" hidden="false" customHeight="false" outlineLevel="0" collapsed="false">
      <c r="A36" s="24" t="n">
        <v>2650</v>
      </c>
      <c r="B36" s="25" t="s">
        <v>62</v>
      </c>
      <c r="C36" s="25" t="s">
        <v>13</v>
      </c>
      <c r="D36" s="26" t="n">
        <v>11.28</v>
      </c>
      <c r="E36" s="27" t="n">
        <v>6</v>
      </c>
      <c r="F36" s="28" t="n">
        <f aca="false">D36*E36</f>
        <v>67.68</v>
      </c>
      <c r="G36" s="27" t="n">
        <v>6</v>
      </c>
      <c r="H36" s="27" t="n">
        <f aca="false">G36-E36</f>
        <v>0</v>
      </c>
      <c r="I36" s="29" t="n">
        <f aca="false">D36*H36</f>
        <v>0</v>
      </c>
      <c r="J36" s="30" t="n">
        <f aca="false">D36*G36</f>
        <v>67.68</v>
      </c>
    </row>
    <row r="37" customFormat="false" ht="18.75" hidden="false" customHeight="false" outlineLevel="0" collapsed="false">
      <c r="A37" s="31" t="s">
        <v>63</v>
      </c>
      <c r="B37" s="32" t="s">
        <v>64</v>
      </c>
      <c r="C37" s="32" t="s">
        <v>15</v>
      </c>
      <c r="D37" s="33" t="n">
        <v>16.92</v>
      </c>
      <c r="E37" s="34" t="n">
        <v>3</v>
      </c>
      <c r="F37" s="35" t="n">
        <f aca="false">D37*E37</f>
        <v>50.76</v>
      </c>
      <c r="G37" s="34" t="n">
        <v>3</v>
      </c>
      <c r="H37" s="34" t="n">
        <f aca="false">G37-E37</f>
        <v>0</v>
      </c>
      <c r="I37" s="36" t="n">
        <f aca="false">D37*H37</f>
        <v>0</v>
      </c>
      <c r="J37" s="37" t="n">
        <f aca="false">D37*G37</f>
        <v>50.76</v>
      </c>
    </row>
    <row r="38" customFormat="false" ht="18.75" hidden="false" customHeight="false" outlineLevel="0" collapsed="false">
      <c r="A38" s="24" t="n">
        <v>12050</v>
      </c>
      <c r="B38" s="25" t="s">
        <v>65</v>
      </c>
      <c r="C38" s="25" t="s">
        <v>13</v>
      </c>
      <c r="D38" s="26" t="n">
        <v>11.28</v>
      </c>
      <c r="E38" s="27" t="n">
        <v>11</v>
      </c>
      <c r="F38" s="28" t="n">
        <f aca="false">D38*E38</f>
        <v>124.08</v>
      </c>
      <c r="G38" s="27" t="n">
        <v>11</v>
      </c>
      <c r="H38" s="27" t="n">
        <f aca="false">G38-E38</f>
        <v>0</v>
      </c>
      <c r="I38" s="29" t="n">
        <f aca="false">D38*H38</f>
        <v>0</v>
      </c>
      <c r="J38" s="30" t="n">
        <f aca="false">D38*G38</f>
        <v>124.08</v>
      </c>
    </row>
    <row r="39" customFormat="false" ht="18.75" hidden="false" customHeight="false" outlineLevel="0" collapsed="false">
      <c r="A39" s="65" t="n">
        <v>2022200</v>
      </c>
      <c r="B39" s="66" t="s">
        <v>66</v>
      </c>
      <c r="C39" s="66" t="s">
        <v>30</v>
      </c>
      <c r="D39" s="67" t="n">
        <v>15.04</v>
      </c>
      <c r="E39" s="68" t="n">
        <v>3</v>
      </c>
      <c r="F39" s="69" t="n">
        <f aca="false">D39*E39</f>
        <v>45.12</v>
      </c>
      <c r="G39" s="68" t="n">
        <v>3</v>
      </c>
      <c r="H39" s="68" t="n">
        <f aca="false">G39-E39</f>
        <v>0</v>
      </c>
      <c r="I39" s="70" t="n">
        <f aca="false">D39*H39</f>
        <v>0</v>
      </c>
      <c r="J39" s="71" t="n">
        <f aca="false">D39*G39</f>
        <v>45.12</v>
      </c>
    </row>
    <row r="40" customFormat="false" ht="18.75" hidden="false" customHeight="false" outlineLevel="0" collapsed="false">
      <c r="A40" s="44" t="n">
        <v>833021</v>
      </c>
      <c r="B40" s="45" t="s">
        <v>67</v>
      </c>
      <c r="C40" s="45" t="s">
        <v>23</v>
      </c>
      <c r="D40" s="46" t="n">
        <v>8.13</v>
      </c>
      <c r="E40" s="47" t="n">
        <v>12</v>
      </c>
      <c r="F40" s="35" t="n">
        <f aca="false">D40*E40</f>
        <v>97.56</v>
      </c>
      <c r="G40" s="47" t="n">
        <v>12</v>
      </c>
      <c r="H40" s="47" t="n">
        <f aca="false">G40-E40</f>
        <v>0</v>
      </c>
      <c r="I40" s="48" t="n">
        <f aca="false">D40*H40</f>
        <v>0</v>
      </c>
      <c r="J40" s="49" t="n">
        <f aca="false">D40*G40</f>
        <v>97.56</v>
      </c>
    </row>
    <row r="41" customFormat="false" ht="18.75" hidden="false" customHeight="false" outlineLevel="0" collapsed="false">
      <c r="A41" s="57" t="n">
        <v>7715</v>
      </c>
      <c r="B41" s="58" t="s">
        <v>68</v>
      </c>
      <c r="C41" s="58" t="s">
        <v>27</v>
      </c>
      <c r="D41" s="59" t="n">
        <v>8.13</v>
      </c>
      <c r="E41" s="60" t="n">
        <v>30</v>
      </c>
      <c r="F41" s="35" t="n">
        <f aca="false">D41*E41</f>
        <v>243.9</v>
      </c>
      <c r="G41" s="60" t="n">
        <v>29</v>
      </c>
      <c r="H41" s="60" t="n">
        <f aca="false">G41-E41</f>
        <v>-1</v>
      </c>
      <c r="I41" s="62" t="n">
        <f aca="false">D41*H41</f>
        <v>-8.13</v>
      </c>
      <c r="J41" s="63" t="n">
        <f aca="false">D41*G41</f>
        <v>235.77</v>
      </c>
    </row>
    <row r="42" customFormat="false" ht="18.75" hidden="false" customHeight="false" outlineLevel="0" collapsed="false">
      <c r="A42" s="73" t="n">
        <v>1001</v>
      </c>
      <c r="B42" s="74" t="s">
        <v>69</v>
      </c>
      <c r="C42" s="74" t="s">
        <v>70</v>
      </c>
      <c r="D42" s="75" t="n">
        <v>4.05</v>
      </c>
      <c r="E42" s="76" t="n">
        <v>47</v>
      </c>
      <c r="F42" s="35" t="n">
        <f aca="false">D42*E42</f>
        <v>190.35</v>
      </c>
      <c r="G42" s="92" t="n">
        <v>47</v>
      </c>
      <c r="H42" s="76" t="n">
        <f aca="false">G42-E42</f>
        <v>0</v>
      </c>
      <c r="I42" s="78" t="n">
        <f aca="false">D42*H42</f>
        <v>0</v>
      </c>
      <c r="J42" s="23" t="n">
        <f aca="false">D42*G42</f>
        <v>190.35</v>
      </c>
    </row>
    <row r="43" customFormat="false" ht="18.75" hidden="false" customHeight="false" outlineLevel="0" collapsed="false">
      <c r="A43" s="79" t="s">
        <v>71</v>
      </c>
      <c r="B43" s="80" t="s">
        <v>72</v>
      </c>
      <c r="C43" s="80" t="s">
        <v>47</v>
      </c>
      <c r="D43" s="91" t="n">
        <v>4.05</v>
      </c>
      <c r="E43" s="82" t="n">
        <v>76</v>
      </c>
      <c r="F43" s="35" t="n">
        <f aca="false">D43*E43</f>
        <v>307.8</v>
      </c>
      <c r="G43" s="82" t="n">
        <v>87</v>
      </c>
      <c r="H43" s="82" t="n">
        <f aca="false">G43-E43</f>
        <v>11</v>
      </c>
      <c r="I43" s="83" t="n">
        <f aca="false">D43*H43</f>
        <v>44.55</v>
      </c>
      <c r="J43" s="84" t="n">
        <f aca="false">D43*G43</f>
        <v>352.35</v>
      </c>
    </row>
    <row r="44" customFormat="false" ht="18.75" hidden="false" customHeight="false" outlineLevel="0" collapsed="false">
      <c r="A44" s="31" t="s">
        <v>73</v>
      </c>
      <c r="B44" s="32" t="s">
        <v>74</v>
      </c>
      <c r="C44" s="32" t="s">
        <v>15</v>
      </c>
      <c r="D44" s="33" t="n">
        <v>7.77</v>
      </c>
      <c r="E44" s="34" t="n">
        <v>28</v>
      </c>
      <c r="F44" s="35" t="n">
        <f aca="false">D44*E44</f>
        <v>217.56</v>
      </c>
      <c r="G44" s="34" t="n">
        <v>22</v>
      </c>
      <c r="H44" s="34" t="n">
        <f aca="false">G44-E44</f>
        <v>-6</v>
      </c>
      <c r="I44" s="36" t="n">
        <f aca="false">D44*H44</f>
        <v>-46.62</v>
      </c>
      <c r="J44" s="37" t="n">
        <f aca="false">D44*G44</f>
        <v>170.94</v>
      </c>
    </row>
    <row r="45" customFormat="false" ht="18.75" hidden="false" customHeight="false" outlineLevel="0" collapsed="false">
      <c r="A45" s="57" t="n">
        <v>7906</v>
      </c>
      <c r="B45" s="58" t="s">
        <v>75</v>
      </c>
      <c r="C45" s="58" t="s">
        <v>27</v>
      </c>
      <c r="D45" s="59" t="n">
        <v>8.7</v>
      </c>
      <c r="E45" s="60" t="n">
        <v>33</v>
      </c>
      <c r="F45" s="35" t="n">
        <f aca="false">D45*E45</f>
        <v>287.1</v>
      </c>
      <c r="G45" s="60" t="n">
        <v>35</v>
      </c>
      <c r="H45" s="61" t="n">
        <f aca="false">G45-E45</f>
        <v>2</v>
      </c>
      <c r="I45" s="62" t="n">
        <f aca="false">D45*H45</f>
        <v>17.4</v>
      </c>
      <c r="J45" s="63" t="n">
        <f aca="false">D45*G45</f>
        <v>304.5</v>
      </c>
    </row>
    <row r="46" customFormat="false" ht="18.75" hidden="false" customHeight="false" outlineLevel="0" collapsed="false">
      <c r="A46" s="24" t="n">
        <v>1907</v>
      </c>
      <c r="B46" s="25" t="s">
        <v>76</v>
      </c>
      <c r="C46" s="25" t="s">
        <v>13</v>
      </c>
      <c r="D46" s="26" t="n">
        <v>7.77</v>
      </c>
      <c r="E46" s="27" t="n">
        <v>44</v>
      </c>
      <c r="F46" s="35" t="n">
        <f aca="false">D46*E46</f>
        <v>341.88</v>
      </c>
      <c r="G46" s="27" t="n">
        <v>49</v>
      </c>
      <c r="H46" s="27" t="n">
        <f aca="false">G46-E46</f>
        <v>5</v>
      </c>
      <c r="I46" s="29" t="n">
        <f aca="false">D46*H46</f>
        <v>38.85</v>
      </c>
      <c r="J46" s="30" t="n">
        <f aca="false">D46*G46</f>
        <v>380.73</v>
      </c>
    </row>
    <row r="47" customFormat="false" ht="18.75" hidden="false" customHeight="false" outlineLevel="0" collapsed="false">
      <c r="A47" s="50" t="n">
        <v>25510</v>
      </c>
      <c r="B47" s="51" t="s">
        <v>77</v>
      </c>
      <c r="C47" s="51" t="s">
        <v>25</v>
      </c>
      <c r="D47" s="52" t="n">
        <v>8.7</v>
      </c>
      <c r="E47" s="53" t="n">
        <v>88</v>
      </c>
      <c r="F47" s="35" t="n">
        <f aca="false">D47*E47</f>
        <v>765.6</v>
      </c>
      <c r="G47" s="54" t="n">
        <v>92</v>
      </c>
      <c r="H47" s="54" t="n">
        <f aca="false">G47-E47</f>
        <v>4</v>
      </c>
      <c r="I47" s="55" t="n">
        <f aca="false">D47*H47</f>
        <v>34.8</v>
      </c>
      <c r="J47" s="56" t="n">
        <f aca="false">D47*G47</f>
        <v>800.4</v>
      </c>
    </row>
    <row r="48" customFormat="false" ht="18.75" hidden="false" customHeight="false" outlineLevel="0" collapsed="false">
      <c r="A48" s="65" t="n">
        <v>2022100</v>
      </c>
      <c r="B48" s="66" t="s">
        <v>78</v>
      </c>
      <c r="C48" s="66" t="s">
        <v>30</v>
      </c>
      <c r="D48" s="67" t="n">
        <v>8.7</v>
      </c>
      <c r="E48" s="68" t="n">
        <v>16</v>
      </c>
      <c r="F48" s="69" t="n">
        <f aca="false">D48*E48</f>
        <v>139.2</v>
      </c>
      <c r="G48" s="68" t="n">
        <v>15</v>
      </c>
      <c r="H48" s="68" t="n">
        <f aca="false">G48-E48</f>
        <v>-1</v>
      </c>
      <c r="I48" s="70" t="n">
        <f aca="false">D48*H48</f>
        <v>-8.7</v>
      </c>
      <c r="J48" s="71" t="n">
        <f aca="false">D48*G48</f>
        <v>130.5</v>
      </c>
    </row>
    <row r="49" customFormat="false" ht="18.75" hidden="false" customHeight="false" outlineLevel="0" collapsed="false">
      <c r="A49" s="24" t="n">
        <v>12010</v>
      </c>
      <c r="B49" s="25" t="s">
        <v>79</v>
      </c>
      <c r="C49" s="25" t="s">
        <v>13</v>
      </c>
      <c r="D49" s="26" t="n">
        <v>10.23</v>
      </c>
      <c r="E49" s="27" t="n">
        <v>445</v>
      </c>
      <c r="F49" s="28" t="n">
        <f aca="false">D49*E49</f>
        <v>4552.35</v>
      </c>
      <c r="G49" s="27" t="n">
        <v>428</v>
      </c>
      <c r="H49" s="27" t="n">
        <f aca="false">G49-E49</f>
        <v>-17</v>
      </c>
      <c r="I49" s="29" t="n">
        <f aca="false">D49*H49</f>
        <v>-173.91</v>
      </c>
      <c r="J49" s="30" t="n">
        <f aca="false">D49*G49</f>
        <v>4378.44</v>
      </c>
      <c r="L49" s="93" t="s">
        <v>80</v>
      </c>
    </row>
    <row r="50" customFormat="false" ht="18.75" hidden="false" customHeight="false" outlineLevel="0" collapsed="false">
      <c r="A50" s="24" t="n">
        <v>12080</v>
      </c>
      <c r="B50" s="25" t="s">
        <v>81</v>
      </c>
      <c r="C50" s="25" t="s">
        <v>13</v>
      </c>
      <c r="D50" s="26" t="n">
        <v>7.17</v>
      </c>
      <c r="E50" s="27" t="n">
        <v>252</v>
      </c>
      <c r="F50" s="28" t="n">
        <f aca="false">D50*E50</f>
        <v>1806.84</v>
      </c>
      <c r="G50" s="27" t="n">
        <v>286</v>
      </c>
      <c r="H50" s="27" t="n">
        <f aca="false">G50-E50</f>
        <v>34</v>
      </c>
      <c r="I50" s="29" t="n">
        <f aca="false">D50*H50</f>
        <v>243.78</v>
      </c>
      <c r="J50" s="30" t="n">
        <f aca="false">D50*G50</f>
        <v>2050.62</v>
      </c>
    </row>
    <row r="51" customFormat="false" ht="18.75" hidden="false" customHeight="false" outlineLevel="0" collapsed="false">
      <c r="A51" s="73"/>
      <c r="B51" s="74"/>
      <c r="C51" s="74"/>
      <c r="D51" s="75"/>
      <c r="E51" s="76"/>
      <c r="F51" s="77"/>
      <c r="G51" s="76"/>
      <c r="H51" s="76"/>
      <c r="I51" s="78" t="n">
        <f aca="false">D51*H51</f>
        <v>0</v>
      </c>
      <c r="J51" s="23" t="n">
        <f aca="false">D51*G51</f>
        <v>0</v>
      </c>
    </row>
    <row r="52" customFormat="false" ht="18.75" hidden="false" customHeight="false" outlineLevel="0" collapsed="false">
      <c r="A52" s="57" t="n">
        <v>7760</v>
      </c>
      <c r="B52" s="58" t="s">
        <v>82</v>
      </c>
      <c r="C52" s="58" t="s">
        <v>27</v>
      </c>
      <c r="D52" s="59" t="n">
        <v>16</v>
      </c>
      <c r="E52" s="60" t="n">
        <v>42</v>
      </c>
      <c r="F52" s="35" t="n">
        <f aca="false">D52*E52</f>
        <v>672</v>
      </c>
      <c r="G52" s="60" t="n">
        <v>42</v>
      </c>
      <c r="H52" s="61" t="n">
        <f aca="false">G52-E52</f>
        <v>0</v>
      </c>
      <c r="I52" s="62" t="n">
        <f aca="false">D52*H52</f>
        <v>0</v>
      </c>
      <c r="J52" s="85" t="n">
        <f aca="false">D52*G52</f>
        <v>672</v>
      </c>
    </row>
    <row r="53" customFormat="false" ht="18.75" hidden="false" customHeight="false" outlineLevel="0" collapsed="false">
      <c r="A53" s="31" t="n">
        <v>839024</v>
      </c>
      <c r="B53" s="32" t="s">
        <v>83</v>
      </c>
      <c r="C53" s="32" t="s">
        <v>84</v>
      </c>
      <c r="D53" s="33" t="n">
        <v>9.6</v>
      </c>
      <c r="E53" s="34" t="n">
        <v>26</v>
      </c>
      <c r="F53" s="35" t="n">
        <f aca="false">D53*E53</f>
        <v>249.6</v>
      </c>
      <c r="G53" s="34" t="n">
        <v>26</v>
      </c>
      <c r="H53" s="34" t="n">
        <f aca="false">G53-E53</f>
        <v>0</v>
      </c>
      <c r="I53" s="36" t="n">
        <f aca="false">D53*H53</f>
        <v>0</v>
      </c>
      <c r="J53" s="37" t="n">
        <f aca="false">D53*G53</f>
        <v>249.6</v>
      </c>
    </row>
    <row r="54" customFormat="false" ht="19.5" hidden="false" customHeight="true" outlineLevel="0" collapsed="false">
      <c r="A54" s="73"/>
      <c r="B54" s="74"/>
      <c r="C54" s="74"/>
      <c r="D54" s="75"/>
      <c r="E54" s="76"/>
      <c r="F54" s="77"/>
      <c r="G54" s="76"/>
      <c r="H54" s="86" t="s">
        <v>5</v>
      </c>
      <c r="I54" s="87" t="n">
        <f aca="false">SUM(I29:I53)</f>
        <v>29.22</v>
      </c>
      <c r="J54" s="88" t="n">
        <f aca="false">SUM(J29:J53)</f>
        <v>11418.12</v>
      </c>
      <c r="K54" s="89" t="n">
        <f aca="false">I54</f>
        <v>29.22</v>
      </c>
      <c r="L54" s="89" t="n">
        <f aca="false">J54</f>
        <v>11418.12</v>
      </c>
    </row>
    <row r="55" customFormat="false" ht="19.5" hidden="false" customHeight="true" outlineLevel="0" collapsed="false">
      <c r="A55" s="8" t="s">
        <v>0</v>
      </c>
      <c r="B55" s="9" t="s">
        <v>1</v>
      </c>
      <c r="C55" s="9" t="s">
        <v>2</v>
      </c>
      <c r="D55" s="10" t="s">
        <v>3</v>
      </c>
      <c r="E55" s="11" t="s">
        <v>4</v>
      </c>
      <c r="F55" s="12" t="s">
        <v>5</v>
      </c>
      <c r="G55" s="11" t="s">
        <v>6</v>
      </c>
      <c r="H55" s="13" t="s">
        <v>7</v>
      </c>
      <c r="I55" s="14" t="s">
        <v>8</v>
      </c>
      <c r="J55" s="90" t="s">
        <v>9</v>
      </c>
    </row>
    <row r="56" customFormat="false" ht="18.75" hidden="false" customHeight="false" outlineLevel="0" collapsed="false">
      <c r="A56" s="73"/>
      <c r="B56" s="74"/>
      <c r="C56" s="74"/>
      <c r="D56" s="75"/>
      <c r="E56" s="76"/>
      <c r="F56" s="77" t="n">
        <f aca="false">D56*E56</f>
        <v>0</v>
      </c>
      <c r="G56" s="76"/>
      <c r="H56" s="76"/>
      <c r="I56" s="78"/>
      <c r="J56" s="23" t="n">
        <f aca="false">D56*G56</f>
        <v>0</v>
      </c>
    </row>
    <row r="57" customFormat="false" ht="18.75" hidden="false" customHeight="false" outlineLevel="0" collapsed="false">
      <c r="A57" s="44" t="s">
        <v>85</v>
      </c>
      <c r="B57" s="45" t="s">
        <v>86</v>
      </c>
      <c r="C57" s="45" t="s">
        <v>23</v>
      </c>
      <c r="D57" s="46" t="n">
        <v>9.6</v>
      </c>
      <c r="E57" s="47" t="n">
        <v>31</v>
      </c>
      <c r="F57" s="35" t="n">
        <f aca="false">D57*E57</f>
        <v>297.6</v>
      </c>
      <c r="G57" s="47" t="n">
        <v>34</v>
      </c>
      <c r="H57" s="47" t="n">
        <f aca="false">G57-E57</f>
        <v>3</v>
      </c>
      <c r="I57" s="48" t="n">
        <f aca="false">D57*H57</f>
        <v>28.8</v>
      </c>
      <c r="J57" s="49" t="n">
        <f aca="false">D57*G57</f>
        <v>326.4</v>
      </c>
    </row>
    <row r="58" customFormat="false" ht="18.75" hidden="false" customHeight="false" outlineLevel="0" collapsed="false">
      <c r="A58" s="57" t="n">
        <v>7737</v>
      </c>
      <c r="B58" s="58" t="s">
        <v>87</v>
      </c>
      <c r="C58" s="58" t="s">
        <v>27</v>
      </c>
      <c r="D58" s="59" t="n">
        <v>10.23</v>
      </c>
      <c r="E58" s="60" t="n">
        <v>33</v>
      </c>
      <c r="F58" s="35" t="n">
        <f aca="false">D58*E58</f>
        <v>337.59</v>
      </c>
      <c r="G58" s="60" t="n">
        <v>35</v>
      </c>
      <c r="H58" s="60" t="n">
        <f aca="false">G58-E58</f>
        <v>2</v>
      </c>
      <c r="I58" s="62" t="n">
        <f aca="false">D58*H58</f>
        <v>20.46</v>
      </c>
      <c r="J58" s="63" t="n">
        <f aca="false">D58*G58</f>
        <v>358.05</v>
      </c>
    </row>
    <row r="59" customFormat="false" ht="18.75" hidden="false" customHeight="false" outlineLevel="0" collapsed="false">
      <c r="A59" s="31" t="n">
        <v>839023</v>
      </c>
      <c r="B59" s="32" t="s">
        <v>88</v>
      </c>
      <c r="C59" s="32" t="s">
        <v>15</v>
      </c>
      <c r="D59" s="33" t="n">
        <v>10.23</v>
      </c>
      <c r="E59" s="34" t="n">
        <v>47</v>
      </c>
      <c r="F59" s="35" t="n">
        <f aca="false">D59*E59</f>
        <v>480.81</v>
      </c>
      <c r="G59" s="34" t="n">
        <v>45</v>
      </c>
      <c r="H59" s="34" t="n">
        <f aca="false">G59-E59</f>
        <v>-2</v>
      </c>
      <c r="I59" s="36" t="n">
        <f aca="false">D59*H59</f>
        <v>-20.46</v>
      </c>
      <c r="J59" s="37" t="n">
        <f aca="false">D59*G59</f>
        <v>460.35</v>
      </c>
    </row>
    <row r="60" customFormat="false" ht="18.75" hidden="false" customHeight="false" outlineLevel="0" collapsed="false">
      <c r="A60" s="31" t="s">
        <v>89</v>
      </c>
      <c r="B60" s="32" t="s">
        <v>90</v>
      </c>
      <c r="C60" s="32" t="s">
        <v>15</v>
      </c>
      <c r="D60" s="33" t="n">
        <v>10.23</v>
      </c>
      <c r="E60" s="34" t="n">
        <v>60</v>
      </c>
      <c r="F60" s="35" t="n">
        <f aca="false">D60*E60</f>
        <v>613.8</v>
      </c>
      <c r="G60" s="34" t="n">
        <v>62</v>
      </c>
      <c r="H60" s="34" t="n">
        <f aca="false">G60-E60</f>
        <v>2</v>
      </c>
      <c r="I60" s="36" t="n">
        <f aca="false">D60*H60</f>
        <v>20.46</v>
      </c>
      <c r="J60" s="37" t="n">
        <f aca="false">D60*G60</f>
        <v>634.26</v>
      </c>
    </row>
    <row r="61" customFormat="false" ht="18.75" hidden="false" customHeight="false" outlineLevel="0" collapsed="false">
      <c r="A61" s="50" t="n">
        <v>423289</v>
      </c>
      <c r="B61" s="51" t="s">
        <v>91</v>
      </c>
      <c r="C61" s="51" t="s">
        <v>25</v>
      </c>
      <c r="D61" s="52" t="n">
        <v>10.23</v>
      </c>
      <c r="E61" s="53" t="n">
        <v>31</v>
      </c>
      <c r="F61" s="35" t="n">
        <f aca="false">D61*E61</f>
        <v>317.13</v>
      </c>
      <c r="G61" s="54" t="n">
        <v>31</v>
      </c>
      <c r="H61" s="54" t="n">
        <f aca="false">G61-E61</f>
        <v>0</v>
      </c>
      <c r="I61" s="55" t="n">
        <f aca="false">D61*H61</f>
        <v>0</v>
      </c>
      <c r="J61" s="56" t="n">
        <f aca="false">D61*G61</f>
        <v>317.13</v>
      </c>
    </row>
    <row r="62" customFormat="false" ht="18.75" hidden="false" customHeight="false" outlineLevel="0" collapsed="false">
      <c r="A62" s="44" t="s">
        <v>92</v>
      </c>
      <c r="B62" s="94" t="s">
        <v>93</v>
      </c>
      <c r="C62" s="45" t="s">
        <v>23</v>
      </c>
      <c r="D62" s="46" t="n">
        <v>10.23</v>
      </c>
      <c r="E62" s="47" t="n">
        <v>50</v>
      </c>
      <c r="F62" s="35" t="n">
        <f aca="false">D62*E62</f>
        <v>511.5</v>
      </c>
      <c r="G62" s="47" t="n">
        <v>54</v>
      </c>
      <c r="H62" s="47" t="n">
        <f aca="false">G62-E62</f>
        <v>4</v>
      </c>
      <c r="I62" s="48" t="n">
        <f aca="false">D62*H62</f>
        <v>40.92</v>
      </c>
      <c r="J62" s="49" t="n">
        <f aca="false">D62*G62</f>
        <v>552.42</v>
      </c>
    </row>
    <row r="63" customFormat="false" ht="18.75" hidden="false" customHeight="false" outlineLevel="0" collapsed="false">
      <c r="A63" s="50" t="n">
        <v>423281</v>
      </c>
      <c r="B63" s="51" t="s">
        <v>94</v>
      </c>
      <c r="C63" s="51" t="s">
        <v>25</v>
      </c>
      <c r="D63" s="52" t="n">
        <v>9.6</v>
      </c>
      <c r="E63" s="53" t="n">
        <v>25</v>
      </c>
      <c r="F63" s="35" t="n">
        <f aca="false">D63*E63</f>
        <v>240</v>
      </c>
      <c r="G63" s="54" t="n">
        <v>25</v>
      </c>
      <c r="H63" s="54" t="n">
        <f aca="false">G63-E63</f>
        <v>0</v>
      </c>
      <c r="I63" s="55" t="n">
        <f aca="false">D63*H63</f>
        <v>0</v>
      </c>
      <c r="J63" s="56" t="n">
        <f aca="false">D63*G63</f>
        <v>240</v>
      </c>
    </row>
    <row r="64" customFormat="false" ht="18.75" hidden="false" customHeight="false" outlineLevel="0" collapsed="false">
      <c r="A64" s="79" t="s">
        <v>95</v>
      </c>
      <c r="B64" s="95" t="s">
        <v>96</v>
      </c>
      <c r="C64" s="80" t="s">
        <v>47</v>
      </c>
      <c r="D64" s="91" t="n">
        <v>10.23</v>
      </c>
      <c r="E64" s="82" t="n">
        <v>52</v>
      </c>
      <c r="F64" s="35" t="n">
        <f aca="false">D64*E64</f>
        <v>531.96</v>
      </c>
      <c r="G64" s="82" t="n">
        <v>51</v>
      </c>
      <c r="H64" s="82" t="n">
        <f aca="false">G64-E64</f>
        <v>-1</v>
      </c>
      <c r="I64" s="83" t="n">
        <f aca="false">D64*H64</f>
        <v>-10.23</v>
      </c>
      <c r="J64" s="84" t="n">
        <f aca="false">D64*G64</f>
        <v>521.73</v>
      </c>
    </row>
    <row r="65" customFormat="false" ht="18.75" hidden="false" customHeight="false" outlineLevel="0" collapsed="false">
      <c r="A65" s="24" t="n">
        <v>12011</v>
      </c>
      <c r="B65" s="25" t="s">
        <v>97</v>
      </c>
      <c r="C65" s="25" t="s">
        <v>13</v>
      </c>
      <c r="D65" s="26" t="n">
        <v>9.6</v>
      </c>
      <c r="E65" s="27" t="n">
        <v>100</v>
      </c>
      <c r="F65" s="28" t="n">
        <f aca="false">D65*E65</f>
        <v>960</v>
      </c>
      <c r="G65" s="27" t="n">
        <v>96</v>
      </c>
      <c r="H65" s="27" t="n">
        <f aca="false">G65-E65</f>
        <v>-4</v>
      </c>
      <c r="I65" s="29" t="n">
        <f aca="false">D65*H65</f>
        <v>-38.4</v>
      </c>
      <c r="J65" s="30" t="n">
        <f aca="false">D65*G65</f>
        <v>921.6</v>
      </c>
    </row>
    <row r="66" customFormat="false" ht="18.75" hidden="false" customHeight="false" outlineLevel="0" collapsed="false">
      <c r="A66" s="65" t="s">
        <v>98</v>
      </c>
      <c r="B66" s="66" t="s">
        <v>99</v>
      </c>
      <c r="C66" s="66" t="s">
        <v>30</v>
      </c>
      <c r="D66" s="67" t="n">
        <v>10.23</v>
      </c>
      <c r="E66" s="68" t="n">
        <v>46</v>
      </c>
      <c r="F66" s="69" t="n">
        <f aca="false">D66*E66</f>
        <v>470.58</v>
      </c>
      <c r="G66" s="68" t="n">
        <v>48</v>
      </c>
      <c r="H66" s="68" t="n">
        <f aca="false">G66-E66</f>
        <v>2</v>
      </c>
      <c r="I66" s="70" t="n">
        <f aca="false">D66*H66</f>
        <v>20.46</v>
      </c>
      <c r="J66" s="71" t="n">
        <f aca="false">D66*G66</f>
        <v>491.04</v>
      </c>
    </row>
    <row r="67" customFormat="false" ht="18.75" hidden="false" customHeight="false" outlineLevel="0" collapsed="false">
      <c r="A67" s="31" t="s">
        <v>100</v>
      </c>
      <c r="B67" s="32" t="s">
        <v>101</v>
      </c>
      <c r="C67" s="32" t="s">
        <v>15</v>
      </c>
      <c r="D67" s="33" t="n">
        <v>19.2</v>
      </c>
      <c r="E67" s="34" t="n">
        <v>62</v>
      </c>
      <c r="F67" s="96" t="n">
        <f aca="false">D67*E67</f>
        <v>1190.4</v>
      </c>
      <c r="G67" s="34" t="n">
        <v>61</v>
      </c>
      <c r="H67" s="34" t="n">
        <f aca="false">G67-E67</f>
        <v>-1</v>
      </c>
      <c r="I67" s="36" t="n">
        <f aca="false">D67*H67</f>
        <v>-19.2</v>
      </c>
      <c r="J67" s="37" t="n">
        <f aca="false">D67*G67</f>
        <v>1171.2</v>
      </c>
    </row>
    <row r="68" customFormat="false" ht="18.75" hidden="false" customHeight="false" outlineLevel="0" collapsed="false">
      <c r="A68" s="50" t="n">
        <v>420791</v>
      </c>
      <c r="B68" s="51" t="s">
        <v>102</v>
      </c>
      <c r="C68" s="51" t="s">
        <v>25</v>
      </c>
      <c r="D68" s="52" t="n">
        <v>83</v>
      </c>
      <c r="E68" s="53" t="n">
        <v>15</v>
      </c>
      <c r="F68" s="35" t="n">
        <f aca="false">D68*E68</f>
        <v>1245</v>
      </c>
      <c r="G68" s="54" t="n">
        <v>15</v>
      </c>
      <c r="H68" s="54" t="n">
        <f aca="false">G68-E68</f>
        <v>0</v>
      </c>
      <c r="I68" s="55" t="n">
        <f aca="false">D68*H68</f>
        <v>0</v>
      </c>
      <c r="J68" s="56" t="n">
        <f aca="false">D68*G68</f>
        <v>1245</v>
      </c>
    </row>
    <row r="69" customFormat="false" ht="18.75" hidden="false" customHeight="false" outlineLevel="0" collapsed="false">
      <c r="A69" s="31" t="n">
        <v>839020</v>
      </c>
      <c r="B69" s="32" t="s">
        <v>103</v>
      </c>
      <c r="C69" s="32" t="s">
        <v>15</v>
      </c>
      <c r="D69" s="33" t="n">
        <v>49.8</v>
      </c>
      <c r="E69" s="34" t="n">
        <v>15</v>
      </c>
      <c r="F69" s="35" t="n">
        <f aca="false">D69*E69</f>
        <v>747</v>
      </c>
      <c r="G69" s="34" t="n">
        <v>15</v>
      </c>
      <c r="H69" s="34" t="n">
        <f aca="false">G69-E69</f>
        <v>0</v>
      </c>
      <c r="I69" s="36" t="n">
        <f aca="false">D69*H69</f>
        <v>0</v>
      </c>
      <c r="J69" s="37" t="n">
        <f aca="false">D69*G69</f>
        <v>747</v>
      </c>
    </row>
    <row r="70" customFormat="false" ht="18.75" hidden="false" customHeight="false" outlineLevel="0" collapsed="false">
      <c r="A70" s="97" t="s">
        <v>104</v>
      </c>
      <c r="B70" s="98" t="s">
        <v>105</v>
      </c>
      <c r="C70" s="98" t="s">
        <v>106</v>
      </c>
      <c r="D70" s="99" t="n">
        <v>11.31</v>
      </c>
      <c r="E70" s="92" t="n">
        <v>5</v>
      </c>
      <c r="F70" s="35" t="n">
        <f aca="false">D70*E70</f>
        <v>56.55</v>
      </c>
      <c r="G70" s="92" t="n">
        <v>4</v>
      </c>
      <c r="H70" s="76" t="n">
        <f aca="false">G70-E70</f>
        <v>-1</v>
      </c>
      <c r="I70" s="78" t="n">
        <f aca="false">D70*H70</f>
        <v>-11.31</v>
      </c>
      <c r="J70" s="23" t="n">
        <f aca="false">D70*G70</f>
        <v>45.24</v>
      </c>
    </row>
    <row r="71" customFormat="false" ht="18.75" hidden="false" customHeight="false" outlineLevel="0" collapsed="false">
      <c r="A71" s="57" t="n">
        <v>78500</v>
      </c>
      <c r="B71" s="58" t="s">
        <v>107</v>
      </c>
      <c r="C71" s="58" t="s">
        <v>27</v>
      </c>
      <c r="D71" s="59" t="n">
        <v>9.91</v>
      </c>
      <c r="E71" s="60" t="n">
        <v>37</v>
      </c>
      <c r="F71" s="35" t="n">
        <f aca="false">D71*E71</f>
        <v>366.67</v>
      </c>
      <c r="G71" s="60" t="n">
        <v>38</v>
      </c>
      <c r="H71" s="61" t="n">
        <f aca="false">G71-E71</f>
        <v>1</v>
      </c>
      <c r="I71" s="62" t="n">
        <f aca="false">D71*H71</f>
        <v>9.91</v>
      </c>
      <c r="J71" s="63" t="n">
        <f aca="false">D71*G71</f>
        <v>376.58</v>
      </c>
    </row>
    <row r="72" customFormat="false" ht="18.75" hidden="false" customHeight="false" outlineLevel="0" collapsed="false">
      <c r="A72" s="24" t="n">
        <v>12061</v>
      </c>
      <c r="B72" s="25" t="s">
        <v>108</v>
      </c>
      <c r="C72" s="25" t="s">
        <v>13</v>
      </c>
      <c r="D72" s="26" t="n">
        <v>9.91</v>
      </c>
      <c r="E72" s="27" t="n">
        <v>21</v>
      </c>
      <c r="F72" s="28" t="n">
        <f aca="false">D72*E72</f>
        <v>208.11</v>
      </c>
      <c r="G72" s="27" t="n">
        <v>18</v>
      </c>
      <c r="H72" s="27" t="n">
        <f aca="false">G72-E72</f>
        <v>-3</v>
      </c>
      <c r="I72" s="29" t="n">
        <f aca="false">D72*H72</f>
        <v>-29.73</v>
      </c>
      <c r="J72" s="30" t="n">
        <f aca="false">D72*G72</f>
        <v>178.38</v>
      </c>
    </row>
    <row r="73" customFormat="false" ht="18.75" hidden="false" customHeight="false" outlineLevel="0" collapsed="false">
      <c r="A73" s="73" t="n">
        <v>1103</v>
      </c>
      <c r="B73" s="74" t="s">
        <v>109</v>
      </c>
      <c r="C73" s="74" t="s">
        <v>110</v>
      </c>
      <c r="D73" s="75" t="n">
        <v>11.31</v>
      </c>
      <c r="E73" s="76" t="n">
        <v>27</v>
      </c>
      <c r="F73" s="35" t="n">
        <f aca="false">D73*E73</f>
        <v>305.37</v>
      </c>
      <c r="G73" s="92" t="n">
        <v>25</v>
      </c>
      <c r="H73" s="76" t="n">
        <f aca="false">G73-E73</f>
        <v>-2</v>
      </c>
      <c r="I73" s="78" t="n">
        <f aca="false">D73*H73</f>
        <v>-22.62</v>
      </c>
      <c r="J73" s="23" t="n">
        <f aca="false">D73*G73</f>
        <v>282.75</v>
      </c>
    </row>
    <row r="74" customFormat="false" ht="18.75" hidden="false" customHeight="false" outlineLevel="0" collapsed="false">
      <c r="A74" s="97" t="s">
        <v>111</v>
      </c>
      <c r="B74" s="98" t="s">
        <v>112</v>
      </c>
      <c r="C74" s="100" t="s">
        <v>106</v>
      </c>
      <c r="D74" s="99" t="n">
        <v>11.31</v>
      </c>
      <c r="E74" s="92" t="n">
        <v>25</v>
      </c>
      <c r="F74" s="35" t="n">
        <f aca="false">D74*E74</f>
        <v>282.75</v>
      </c>
      <c r="G74" s="92" t="n">
        <v>24</v>
      </c>
      <c r="H74" s="76" t="n">
        <f aca="false">G74-E74</f>
        <v>-1</v>
      </c>
      <c r="I74" s="78" t="n">
        <f aca="false">D74*H74</f>
        <v>-11.31</v>
      </c>
      <c r="J74" s="23" t="n">
        <f aca="false">D74*G74</f>
        <v>271.44</v>
      </c>
    </row>
    <row r="75" customFormat="false" ht="18.75" hidden="false" customHeight="false" outlineLevel="0" collapsed="false">
      <c r="A75" s="97" t="n">
        <v>56907</v>
      </c>
      <c r="B75" s="98" t="s">
        <v>113</v>
      </c>
      <c r="C75" s="98" t="s">
        <v>114</v>
      </c>
      <c r="D75" s="99" t="n">
        <v>3.3</v>
      </c>
      <c r="E75" s="92" t="n">
        <v>52</v>
      </c>
      <c r="F75" s="35" t="n">
        <f aca="false">D75*E75</f>
        <v>171.6</v>
      </c>
      <c r="G75" s="92" t="n">
        <v>50</v>
      </c>
      <c r="H75" s="76" t="n">
        <f aca="false">G75-E75</f>
        <v>-2</v>
      </c>
      <c r="I75" s="78" t="n">
        <f aca="false">D75*H75</f>
        <v>-6.6</v>
      </c>
      <c r="J75" s="23" t="n">
        <f aca="false">D75*G75</f>
        <v>165</v>
      </c>
    </row>
    <row r="76" customFormat="false" ht="18.75" hidden="false" customHeight="false" outlineLevel="0" collapsed="false">
      <c r="A76" s="24" t="n">
        <v>4720</v>
      </c>
      <c r="B76" s="25" t="s">
        <v>115</v>
      </c>
      <c r="C76" s="25" t="s">
        <v>13</v>
      </c>
      <c r="D76" s="26" t="n">
        <v>7.92</v>
      </c>
      <c r="E76" s="27" t="n">
        <v>21</v>
      </c>
      <c r="F76" s="28" t="n">
        <f aca="false">D76*E76</f>
        <v>166.32</v>
      </c>
      <c r="G76" s="27" t="n">
        <v>22</v>
      </c>
      <c r="H76" s="27" t="n">
        <f aca="false">G76-E76</f>
        <v>1</v>
      </c>
      <c r="I76" s="29" t="n">
        <f aca="false">D76*H76</f>
        <v>7.92</v>
      </c>
      <c r="J76" s="30" t="n">
        <f aca="false">D76*G76</f>
        <v>174.24</v>
      </c>
    </row>
    <row r="77" customFormat="false" ht="18.75" hidden="false" customHeight="false" outlineLevel="0" collapsed="false">
      <c r="A77" s="38" t="n">
        <v>3391</v>
      </c>
      <c r="B77" s="39" t="s">
        <v>116</v>
      </c>
      <c r="C77" s="39" t="s">
        <v>20</v>
      </c>
      <c r="D77" s="40" t="n">
        <v>5.75</v>
      </c>
      <c r="E77" s="41" t="n">
        <v>24</v>
      </c>
      <c r="F77" s="35" t="n">
        <f aca="false">D77*E77</f>
        <v>138</v>
      </c>
      <c r="G77" s="41" t="n">
        <v>22</v>
      </c>
      <c r="H77" s="41" t="n">
        <f aca="false">G77-E77</f>
        <v>-2</v>
      </c>
      <c r="I77" s="42" t="n">
        <f aca="false">D77*H77</f>
        <v>-11.5</v>
      </c>
      <c r="J77" s="43" t="n">
        <f aca="false">D77*G77</f>
        <v>126.5</v>
      </c>
    </row>
    <row r="78" customFormat="false" ht="18.75" hidden="false" customHeight="false" outlineLevel="0" collapsed="false">
      <c r="A78" s="79" t="s">
        <v>117</v>
      </c>
      <c r="B78" s="80" t="s">
        <v>118</v>
      </c>
      <c r="C78" s="80" t="s">
        <v>47</v>
      </c>
      <c r="D78" s="91" t="n">
        <v>8.35</v>
      </c>
      <c r="E78" s="82" t="n">
        <v>1</v>
      </c>
      <c r="F78" s="35" t="n">
        <f aca="false">D78*E78</f>
        <v>8.35</v>
      </c>
      <c r="G78" s="82" t="n">
        <v>1</v>
      </c>
      <c r="H78" s="82" t="n">
        <f aca="false">G78-E78</f>
        <v>0</v>
      </c>
      <c r="I78" s="83" t="n">
        <f aca="false">D78*H78</f>
        <v>0</v>
      </c>
      <c r="J78" s="84" t="n">
        <f aca="false">D78*G78</f>
        <v>8.35</v>
      </c>
    </row>
    <row r="79" customFormat="false" ht="18.75" hidden="false" customHeight="false" outlineLevel="0" collapsed="false">
      <c r="A79" s="73" t="n">
        <v>1203</v>
      </c>
      <c r="B79" s="74" t="s">
        <v>119</v>
      </c>
      <c r="C79" s="74" t="s">
        <v>110</v>
      </c>
      <c r="D79" s="75" t="n">
        <v>9.91</v>
      </c>
      <c r="E79" s="76" t="n">
        <v>17</v>
      </c>
      <c r="F79" s="35" t="n">
        <f aca="false">D79*E79</f>
        <v>168.47</v>
      </c>
      <c r="G79" s="92" t="n">
        <v>17</v>
      </c>
      <c r="H79" s="76" t="n">
        <f aca="false">G79-E79</f>
        <v>0</v>
      </c>
      <c r="I79" s="78" t="n">
        <f aca="false">D79*H79</f>
        <v>0</v>
      </c>
      <c r="J79" s="23" t="n">
        <f aca="false">D79*G79</f>
        <v>168.47</v>
      </c>
    </row>
    <row r="80" customFormat="false" ht="18.75" hidden="false" customHeight="false" outlineLevel="0" collapsed="false">
      <c r="A80" s="101" t="s">
        <v>120</v>
      </c>
      <c r="B80" s="102" t="s">
        <v>121</v>
      </c>
      <c r="C80" s="102" t="s">
        <v>23</v>
      </c>
      <c r="D80" s="103" t="n">
        <v>83</v>
      </c>
      <c r="E80" s="104" t="n">
        <v>1</v>
      </c>
      <c r="F80" s="105" t="n">
        <f aca="false">D80*E80</f>
        <v>83</v>
      </c>
      <c r="G80" s="104" t="n">
        <v>1</v>
      </c>
      <c r="H80" s="104" t="n">
        <f aca="false">G80-E80</f>
        <v>0</v>
      </c>
      <c r="I80" s="106" t="n">
        <f aca="false">D80*H80</f>
        <v>0</v>
      </c>
      <c r="J80" s="107" t="n">
        <f aca="false">D80*G80</f>
        <v>83</v>
      </c>
    </row>
    <row r="81" customFormat="false" ht="19.5" hidden="false" customHeight="true" outlineLevel="0" collapsed="false">
      <c r="A81" s="108"/>
      <c r="B81" s="109"/>
      <c r="C81" s="109"/>
      <c r="D81" s="110"/>
      <c r="E81" s="111"/>
      <c r="F81" s="35"/>
      <c r="G81" s="111"/>
      <c r="H81" s="86" t="s">
        <v>5</v>
      </c>
      <c r="I81" s="87" t="n">
        <f aca="false">SUM(I56:I80)</f>
        <v>-32.43</v>
      </c>
      <c r="J81" s="88" t="n">
        <f aca="false">SUM(J56:J80)</f>
        <v>9866.13</v>
      </c>
      <c r="K81" s="89" t="n">
        <f aca="false">I81</f>
        <v>-32.43</v>
      </c>
      <c r="L81" s="89" t="n">
        <f aca="false">J81</f>
        <v>9866.13</v>
      </c>
    </row>
    <row r="82" customFormat="false" ht="19.5" hidden="false" customHeight="true" outlineLevel="0" collapsed="false">
      <c r="A82" s="8" t="s">
        <v>0</v>
      </c>
      <c r="B82" s="9" t="s">
        <v>1</v>
      </c>
      <c r="C82" s="9" t="s">
        <v>2</v>
      </c>
      <c r="D82" s="10" t="s">
        <v>3</v>
      </c>
      <c r="E82" s="11" t="s">
        <v>4</v>
      </c>
      <c r="F82" s="112" t="s">
        <v>5</v>
      </c>
      <c r="G82" s="11" t="s">
        <v>6</v>
      </c>
      <c r="H82" s="13" t="s">
        <v>7</v>
      </c>
      <c r="I82" s="14" t="s">
        <v>8</v>
      </c>
      <c r="J82" s="113" t="s">
        <v>9</v>
      </c>
    </row>
    <row r="83" customFormat="false" ht="18.75" hidden="false" customHeight="false" outlineLevel="0" collapsed="false">
      <c r="A83" s="79" t="s">
        <v>122</v>
      </c>
      <c r="B83" s="80" t="s">
        <v>123</v>
      </c>
      <c r="C83" s="80" t="s">
        <v>47</v>
      </c>
      <c r="D83" s="91" t="n">
        <v>135.93</v>
      </c>
      <c r="E83" s="82" t="n">
        <v>4</v>
      </c>
      <c r="F83" s="35" t="n">
        <f aca="false">D83*E83</f>
        <v>543.72</v>
      </c>
      <c r="G83" s="82" t="n">
        <v>4</v>
      </c>
      <c r="H83" s="82" t="n">
        <f aca="false">G83-E83</f>
        <v>0</v>
      </c>
      <c r="I83" s="83" t="n">
        <f aca="false">D83*H83</f>
        <v>0</v>
      </c>
      <c r="J83" s="84" t="n">
        <f aca="false">D83*G83</f>
        <v>543.72</v>
      </c>
    </row>
    <row r="84" customFormat="false" ht="18.75" hidden="false" customHeight="false" outlineLevel="0" collapsed="false">
      <c r="A84" s="79" t="s">
        <v>124</v>
      </c>
      <c r="B84" s="80" t="s">
        <v>125</v>
      </c>
      <c r="C84" s="80" t="s">
        <v>47</v>
      </c>
      <c r="D84" s="91" t="n">
        <v>45.31</v>
      </c>
      <c r="E84" s="82" t="n">
        <v>13</v>
      </c>
      <c r="F84" s="35" t="n">
        <f aca="false">D84*E84</f>
        <v>589.03</v>
      </c>
      <c r="G84" s="82" t="n">
        <v>13</v>
      </c>
      <c r="H84" s="82" t="n">
        <f aca="false">G84-E84</f>
        <v>0</v>
      </c>
      <c r="I84" s="83" t="n">
        <f aca="false">D84*H84</f>
        <v>0</v>
      </c>
      <c r="J84" s="84" t="n">
        <f aca="false">D84*G84</f>
        <v>589.03</v>
      </c>
    </row>
    <row r="85" customFormat="false" ht="18.75" hidden="false" customHeight="false" outlineLevel="0" collapsed="false">
      <c r="A85" s="57" t="n">
        <v>7806</v>
      </c>
      <c r="B85" s="58" t="s">
        <v>126</v>
      </c>
      <c r="C85" s="58" t="s">
        <v>27</v>
      </c>
      <c r="D85" s="59" t="n">
        <v>45.31</v>
      </c>
      <c r="E85" s="60" t="n">
        <v>3</v>
      </c>
      <c r="F85" s="35" t="n">
        <f aca="false">D85*E85</f>
        <v>135.93</v>
      </c>
      <c r="G85" s="60" t="n">
        <v>3</v>
      </c>
      <c r="H85" s="61" t="n">
        <f aca="false">G85-E85</f>
        <v>0</v>
      </c>
      <c r="I85" s="62" t="n">
        <f aca="false">D85*H85</f>
        <v>0</v>
      </c>
      <c r="J85" s="63" t="n">
        <f aca="false">D85*G85</f>
        <v>135.93</v>
      </c>
    </row>
    <row r="86" customFormat="false" ht="18.75" hidden="false" customHeight="false" outlineLevel="0" collapsed="false">
      <c r="A86" s="57" t="n">
        <v>885127</v>
      </c>
      <c r="B86" s="58" t="s">
        <v>127</v>
      </c>
      <c r="C86" s="58" t="s">
        <v>27</v>
      </c>
      <c r="D86" s="59" t="n">
        <v>45.31</v>
      </c>
      <c r="E86" s="60" t="n">
        <v>32</v>
      </c>
      <c r="F86" s="35" t="n">
        <f aca="false">D86*E86</f>
        <v>1449.92</v>
      </c>
      <c r="G86" s="60" t="n">
        <v>30</v>
      </c>
      <c r="H86" s="61" t="n">
        <f aca="false">G86-E86</f>
        <v>-2</v>
      </c>
      <c r="I86" s="62" t="n">
        <f aca="false">D86*H86</f>
        <v>-90.62</v>
      </c>
      <c r="J86" s="63" t="n">
        <f aca="false">D86*G86</f>
        <v>1359.3</v>
      </c>
    </row>
    <row r="87" customFormat="false" ht="18.75" hidden="false" customHeight="false" outlineLevel="0" collapsed="false">
      <c r="A87" s="79" t="s">
        <v>128</v>
      </c>
      <c r="B87" s="80" t="s">
        <v>129</v>
      </c>
      <c r="C87" s="80" t="s">
        <v>47</v>
      </c>
      <c r="D87" s="91" t="n">
        <v>135.93</v>
      </c>
      <c r="E87" s="82" t="n">
        <v>3</v>
      </c>
      <c r="F87" s="35" t="n">
        <f aca="false">D87*E87</f>
        <v>407.79</v>
      </c>
      <c r="G87" s="82" t="n">
        <v>3</v>
      </c>
      <c r="H87" s="82" t="n">
        <f aca="false">G87-E87</f>
        <v>0</v>
      </c>
      <c r="I87" s="83" t="n">
        <f aca="false">D87*H87</f>
        <v>0</v>
      </c>
      <c r="J87" s="84" t="n">
        <f aca="false">D87*G87</f>
        <v>407.79</v>
      </c>
    </row>
    <row r="88" customFormat="false" ht="18.75" hidden="false" customHeight="false" outlineLevel="0" collapsed="false">
      <c r="A88" s="57" t="n">
        <v>89520</v>
      </c>
      <c r="B88" s="58" t="s">
        <v>130</v>
      </c>
      <c r="C88" s="58" t="s">
        <v>27</v>
      </c>
      <c r="D88" s="59" t="n">
        <v>45.31</v>
      </c>
      <c r="E88" s="114" t="n">
        <v>7</v>
      </c>
      <c r="F88" s="35" t="n">
        <f aca="false">D88*E88</f>
        <v>317.17</v>
      </c>
      <c r="G88" s="60" t="n">
        <v>7</v>
      </c>
      <c r="H88" s="61" t="n">
        <f aca="false">G88-E88</f>
        <v>0</v>
      </c>
      <c r="I88" s="62" t="n">
        <f aca="false">D88*H88</f>
        <v>0</v>
      </c>
      <c r="J88" s="63" t="n">
        <f aca="false">D88*G88</f>
        <v>317.17</v>
      </c>
    </row>
    <row r="89" customFormat="false" ht="18.75" hidden="false" customHeight="false" outlineLevel="0" collapsed="false">
      <c r="A89" s="57" t="n">
        <v>89530</v>
      </c>
      <c r="B89" s="58" t="s">
        <v>131</v>
      </c>
      <c r="C89" s="58" t="s">
        <v>27</v>
      </c>
      <c r="D89" s="59" t="n">
        <v>45.31</v>
      </c>
      <c r="E89" s="114" t="n">
        <v>12</v>
      </c>
      <c r="F89" s="35" t="n">
        <f aca="false">D89*E89</f>
        <v>543.72</v>
      </c>
      <c r="G89" s="60" t="n">
        <v>12</v>
      </c>
      <c r="H89" s="61" t="n">
        <f aca="false">G89-E89</f>
        <v>0</v>
      </c>
      <c r="I89" s="62" t="n">
        <f aca="false">D89*H89</f>
        <v>0</v>
      </c>
      <c r="J89" s="63" t="n">
        <f aca="false">D89*G89</f>
        <v>543.72</v>
      </c>
    </row>
    <row r="90" customFormat="false" ht="18.75" hidden="false" customHeight="false" outlineLevel="0" collapsed="false">
      <c r="A90" s="57" t="n">
        <v>89540</v>
      </c>
      <c r="B90" s="58" t="s">
        <v>132</v>
      </c>
      <c r="C90" s="58" t="s">
        <v>27</v>
      </c>
      <c r="D90" s="59" t="n">
        <v>45.31</v>
      </c>
      <c r="E90" s="114" t="n">
        <v>0</v>
      </c>
      <c r="F90" s="35" t="n">
        <f aca="false">D90*E90</f>
        <v>0</v>
      </c>
      <c r="G90" s="60" t="n">
        <v>3</v>
      </c>
      <c r="H90" s="61" t="n">
        <f aca="false">G90-E90</f>
        <v>3</v>
      </c>
      <c r="I90" s="62" t="n">
        <f aca="false">D90*H90</f>
        <v>135.93</v>
      </c>
      <c r="J90" s="63" t="n">
        <f aca="false">D90*G90</f>
        <v>135.93</v>
      </c>
    </row>
    <row r="91" customFormat="false" ht="18.75" hidden="false" customHeight="false" outlineLevel="0" collapsed="false">
      <c r="A91" s="57" t="n">
        <v>89601</v>
      </c>
      <c r="B91" s="58" t="s">
        <v>133</v>
      </c>
      <c r="C91" s="58" t="s">
        <v>27</v>
      </c>
      <c r="D91" s="59" t="n">
        <v>45.31</v>
      </c>
      <c r="E91" s="114" t="n">
        <v>3</v>
      </c>
      <c r="F91" s="35" t="n">
        <f aca="false">D91*E91</f>
        <v>135.93</v>
      </c>
      <c r="G91" s="60" t="n">
        <v>3</v>
      </c>
      <c r="H91" s="61" t="n">
        <f aca="false">G91-E91</f>
        <v>0</v>
      </c>
      <c r="I91" s="62" t="n">
        <f aca="false">D91*H91</f>
        <v>0</v>
      </c>
      <c r="J91" s="63" t="n">
        <f aca="false">D91*G91</f>
        <v>135.93</v>
      </c>
    </row>
    <row r="92" customFormat="false" ht="18.75" hidden="false" customHeight="false" outlineLevel="0" collapsed="false">
      <c r="A92" s="57" t="n">
        <v>89602</v>
      </c>
      <c r="B92" s="58" t="s">
        <v>134</v>
      </c>
      <c r="C92" s="58" t="s">
        <v>27</v>
      </c>
      <c r="D92" s="59" t="n">
        <v>45.31</v>
      </c>
      <c r="E92" s="114" t="n">
        <v>0</v>
      </c>
      <c r="F92" s="35" t="n">
        <f aca="false">D92*E92</f>
        <v>0</v>
      </c>
      <c r="G92" s="60" t="n">
        <v>0</v>
      </c>
      <c r="H92" s="61" t="n">
        <f aca="false">G92-E92</f>
        <v>0</v>
      </c>
      <c r="I92" s="62" t="n">
        <f aca="false">D92*H92</f>
        <v>0</v>
      </c>
      <c r="J92" s="63" t="n">
        <f aca="false">D92*G92</f>
        <v>0</v>
      </c>
    </row>
    <row r="93" customFormat="false" ht="18.75" hidden="false" customHeight="false" outlineLevel="0" collapsed="false">
      <c r="A93" s="57" t="n">
        <v>89603</v>
      </c>
      <c r="B93" s="58" t="s">
        <v>135</v>
      </c>
      <c r="C93" s="58" t="s">
        <v>27</v>
      </c>
      <c r="D93" s="59" t="n">
        <v>45.31</v>
      </c>
      <c r="E93" s="114" t="n">
        <v>0</v>
      </c>
      <c r="F93" s="35" t="n">
        <f aca="false">D93*E93</f>
        <v>0</v>
      </c>
      <c r="G93" s="60" t="n">
        <v>0</v>
      </c>
      <c r="H93" s="61" t="n">
        <f aca="false">G93-E93</f>
        <v>0</v>
      </c>
      <c r="I93" s="62" t="n">
        <f aca="false">D93*H93</f>
        <v>0</v>
      </c>
      <c r="J93" s="63" t="n">
        <f aca="false">D93*G93</f>
        <v>0</v>
      </c>
    </row>
    <row r="94" customFormat="false" ht="18.75" hidden="false" customHeight="false" outlineLevel="0" collapsed="false">
      <c r="A94" s="31" t="n">
        <v>839001</v>
      </c>
      <c r="B94" s="32" t="s">
        <v>136</v>
      </c>
      <c r="C94" s="32" t="s">
        <v>15</v>
      </c>
      <c r="D94" s="33" t="n">
        <v>45.31</v>
      </c>
      <c r="E94" s="34" t="n">
        <v>23</v>
      </c>
      <c r="F94" s="35" t="n">
        <f aca="false">D94*E94</f>
        <v>1042.13</v>
      </c>
      <c r="G94" s="34" t="n">
        <v>29</v>
      </c>
      <c r="H94" s="34" t="n">
        <f aca="false">G94-E94</f>
        <v>6</v>
      </c>
      <c r="I94" s="36" t="n">
        <f aca="false">D94*H94</f>
        <v>271.86</v>
      </c>
      <c r="J94" s="37" t="n">
        <f aca="false">D94*G94</f>
        <v>1313.99</v>
      </c>
    </row>
    <row r="95" customFormat="false" ht="18.75" hidden="false" customHeight="false" outlineLevel="0" collapsed="false">
      <c r="A95" s="31" t="n">
        <v>839005</v>
      </c>
      <c r="B95" s="32" t="s">
        <v>137</v>
      </c>
      <c r="C95" s="32" t="s">
        <v>15</v>
      </c>
      <c r="D95" s="33" t="n">
        <v>135.96</v>
      </c>
      <c r="E95" s="34" t="n">
        <v>37</v>
      </c>
      <c r="F95" s="35" t="n">
        <f aca="false">D95*E95</f>
        <v>5030.52</v>
      </c>
      <c r="G95" s="34" t="n">
        <v>37</v>
      </c>
      <c r="H95" s="34" t="n">
        <f aca="false">G95-E95</f>
        <v>0</v>
      </c>
      <c r="I95" s="36" t="n">
        <f aca="false">D95*H95</f>
        <v>0</v>
      </c>
      <c r="J95" s="37" t="n">
        <f aca="false">D95*G95</f>
        <v>5030.52</v>
      </c>
    </row>
    <row r="96" customFormat="false" ht="18.75" hidden="false" customHeight="false" outlineLevel="0" collapsed="false">
      <c r="A96" s="79" t="s">
        <v>138</v>
      </c>
      <c r="B96" s="80" t="s">
        <v>139</v>
      </c>
      <c r="C96" s="80" t="s">
        <v>47</v>
      </c>
      <c r="D96" s="91" t="n">
        <v>45.31</v>
      </c>
      <c r="E96" s="82" t="n">
        <v>30</v>
      </c>
      <c r="F96" s="35" t="n">
        <f aca="false">D96*E96</f>
        <v>1359.3</v>
      </c>
      <c r="G96" s="82" t="n">
        <v>27</v>
      </c>
      <c r="H96" s="82" t="n">
        <f aca="false">G96-E96</f>
        <v>-3</v>
      </c>
      <c r="I96" s="83" t="n">
        <f aca="false">D96*H96</f>
        <v>-135.93</v>
      </c>
      <c r="J96" s="84" t="n">
        <f aca="false">D96*G96</f>
        <v>1223.37</v>
      </c>
    </row>
    <row r="97" customFormat="false" ht="18.75" hidden="false" customHeight="false" outlineLevel="0" collapsed="false">
      <c r="A97" s="44" t="s">
        <v>140</v>
      </c>
      <c r="B97" s="45" t="s">
        <v>141</v>
      </c>
      <c r="C97" s="45" t="s">
        <v>39</v>
      </c>
      <c r="D97" s="46" t="n">
        <v>5.98</v>
      </c>
      <c r="E97" s="47" t="n">
        <v>2</v>
      </c>
      <c r="F97" s="35"/>
      <c r="G97" s="47" t="n">
        <v>2</v>
      </c>
      <c r="H97" s="47" t="n">
        <f aca="false">G97-E97</f>
        <v>0</v>
      </c>
      <c r="I97" s="48" t="n">
        <f aca="false">D97*H97</f>
        <v>0</v>
      </c>
      <c r="J97" s="49" t="n">
        <f aca="false">D97*G97</f>
        <v>11.96</v>
      </c>
    </row>
    <row r="98" customFormat="false" ht="18.75" hidden="false" customHeight="false" outlineLevel="0" collapsed="false">
      <c r="A98" s="44" t="s">
        <v>142</v>
      </c>
      <c r="B98" s="45" t="s">
        <v>143</v>
      </c>
      <c r="C98" s="45" t="s">
        <v>39</v>
      </c>
      <c r="D98" s="46" t="n">
        <v>5.98</v>
      </c>
      <c r="E98" s="47" t="n">
        <v>0</v>
      </c>
      <c r="F98" s="35"/>
      <c r="G98" s="47" t="n">
        <v>0</v>
      </c>
      <c r="H98" s="47" t="n">
        <f aca="false">G98-E98</f>
        <v>0</v>
      </c>
      <c r="I98" s="48" t="n">
        <f aca="false">D98*H98</f>
        <v>0</v>
      </c>
      <c r="J98" s="49" t="n">
        <f aca="false">D98*G98</f>
        <v>0</v>
      </c>
    </row>
    <row r="99" customFormat="false" ht="18.75" hidden="false" customHeight="false" outlineLevel="0" collapsed="false">
      <c r="A99" s="44" t="s">
        <v>144</v>
      </c>
      <c r="B99" s="45" t="s">
        <v>145</v>
      </c>
      <c r="C99" s="45" t="s">
        <v>39</v>
      </c>
      <c r="D99" s="46" t="n">
        <v>5.98</v>
      </c>
      <c r="E99" s="47" t="n">
        <v>0</v>
      </c>
      <c r="F99" s="35"/>
      <c r="G99" s="47" t="n">
        <v>0</v>
      </c>
      <c r="H99" s="47" t="n">
        <f aca="false">G99-E99</f>
        <v>0</v>
      </c>
      <c r="I99" s="48" t="n">
        <f aca="false">D99*H99</f>
        <v>0</v>
      </c>
      <c r="J99" s="49" t="n">
        <f aca="false">D99*G99</f>
        <v>0</v>
      </c>
    </row>
    <row r="100" customFormat="false" ht="18.75" hidden="false" customHeight="false" outlineLevel="0" collapsed="false">
      <c r="A100" s="73"/>
      <c r="B100" s="74"/>
      <c r="C100" s="74"/>
      <c r="D100" s="75"/>
      <c r="E100" s="76"/>
      <c r="F100" s="77"/>
      <c r="G100" s="76"/>
      <c r="H100" s="76"/>
      <c r="I100" s="78" t="n">
        <f aca="false">D100*H100</f>
        <v>0</v>
      </c>
      <c r="J100" s="23" t="n">
        <f aca="false">D100*G100</f>
        <v>0</v>
      </c>
    </row>
    <row r="101" customFormat="false" ht="18.75" hidden="false" customHeight="false" outlineLevel="0" collapsed="false">
      <c r="A101" s="57" t="n">
        <v>7299</v>
      </c>
      <c r="B101" s="58" t="s">
        <v>146</v>
      </c>
      <c r="C101" s="58" t="s">
        <v>27</v>
      </c>
      <c r="D101" s="59" t="n">
        <v>5.98</v>
      </c>
      <c r="E101" s="60" t="n">
        <v>3</v>
      </c>
      <c r="F101" s="35" t="n">
        <f aca="false">D101*E101</f>
        <v>17.94</v>
      </c>
      <c r="G101" s="60" t="n">
        <v>3</v>
      </c>
      <c r="H101" s="61" t="n">
        <f aca="false">G101-E101</f>
        <v>0</v>
      </c>
      <c r="I101" s="62" t="n">
        <f aca="false">D101*H101</f>
        <v>0</v>
      </c>
      <c r="J101" s="63" t="n">
        <f aca="false">D101*G101</f>
        <v>17.94</v>
      </c>
    </row>
    <row r="102" customFormat="false" ht="18.75" hidden="false" customHeight="false" outlineLevel="0" collapsed="false">
      <c r="A102" s="57" t="n">
        <v>7300</v>
      </c>
      <c r="B102" s="58" t="s">
        <v>147</v>
      </c>
      <c r="C102" s="58" t="s">
        <v>27</v>
      </c>
      <c r="D102" s="59" t="n">
        <v>5.98</v>
      </c>
      <c r="E102" s="60" t="n">
        <v>12</v>
      </c>
      <c r="F102" s="35" t="n">
        <f aca="false">D102*E102</f>
        <v>71.76</v>
      </c>
      <c r="G102" s="60" t="n">
        <v>16</v>
      </c>
      <c r="H102" s="61" t="n">
        <f aca="false">G102-E102</f>
        <v>4</v>
      </c>
      <c r="I102" s="62" t="n">
        <f aca="false">D102*H102</f>
        <v>23.92</v>
      </c>
      <c r="J102" s="63" t="n">
        <f aca="false">D102*G102</f>
        <v>95.68</v>
      </c>
    </row>
    <row r="103" customFormat="false" ht="18.75" hidden="false" customHeight="false" outlineLevel="0" collapsed="false">
      <c r="A103" s="79" t="s">
        <v>148</v>
      </c>
      <c r="B103" s="80" t="s">
        <v>149</v>
      </c>
      <c r="C103" s="80" t="s">
        <v>47</v>
      </c>
      <c r="D103" s="91" t="n">
        <v>5.98</v>
      </c>
      <c r="E103" s="82" t="n">
        <v>11</v>
      </c>
      <c r="F103" s="35" t="n">
        <f aca="false">D103*E103</f>
        <v>65.78</v>
      </c>
      <c r="G103" s="82" t="n">
        <v>12</v>
      </c>
      <c r="H103" s="82" t="n">
        <f aca="false">G103-E103</f>
        <v>1</v>
      </c>
      <c r="I103" s="83" t="n">
        <f aca="false">D103*H103</f>
        <v>5.98</v>
      </c>
      <c r="J103" s="84" t="n">
        <f aca="false">D103*G103</f>
        <v>71.76</v>
      </c>
    </row>
    <row r="104" customFormat="false" ht="18.75" hidden="false" customHeight="false" outlineLevel="0" collapsed="false">
      <c r="A104" s="79" t="s">
        <v>150</v>
      </c>
      <c r="B104" s="80" t="s">
        <v>151</v>
      </c>
      <c r="C104" s="80" t="s">
        <v>47</v>
      </c>
      <c r="D104" s="91" t="n">
        <v>5.98</v>
      </c>
      <c r="E104" s="82" t="n">
        <v>4</v>
      </c>
      <c r="F104" s="35" t="n">
        <f aca="false">D104*E104</f>
        <v>23.92</v>
      </c>
      <c r="G104" s="82" t="n">
        <v>5</v>
      </c>
      <c r="H104" s="82" t="n">
        <f aca="false">G104-E104</f>
        <v>1</v>
      </c>
      <c r="I104" s="83" t="n">
        <f aca="false">D104*H104</f>
        <v>5.98</v>
      </c>
      <c r="J104" s="84" t="n">
        <f aca="false">D104*G104</f>
        <v>29.9</v>
      </c>
    </row>
    <row r="105" customFormat="false" ht="18.75" hidden="false" customHeight="false" outlineLevel="0" collapsed="false">
      <c r="A105" s="31" t="s">
        <v>152</v>
      </c>
      <c r="B105" s="32" t="s">
        <v>153</v>
      </c>
      <c r="C105" s="32" t="s">
        <v>15</v>
      </c>
      <c r="D105" s="33" t="n">
        <v>5.98</v>
      </c>
      <c r="E105" s="34" t="n">
        <v>5</v>
      </c>
      <c r="F105" s="35" t="n">
        <f aca="false">D105*E105</f>
        <v>29.9</v>
      </c>
      <c r="G105" s="34" t="n">
        <v>5</v>
      </c>
      <c r="H105" s="34" t="n">
        <f aca="false">G105-E105</f>
        <v>0</v>
      </c>
      <c r="I105" s="36" t="n">
        <f aca="false">D105*H105</f>
        <v>0</v>
      </c>
      <c r="J105" s="37" t="n">
        <f aca="false">D105*G105</f>
        <v>29.9</v>
      </c>
    </row>
    <row r="106" customFormat="false" ht="18.75" hidden="false" customHeight="false" outlineLevel="0" collapsed="false">
      <c r="A106" s="31" t="s">
        <v>154</v>
      </c>
      <c r="B106" s="32" t="s">
        <v>153</v>
      </c>
      <c r="C106" s="32" t="s">
        <v>15</v>
      </c>
      <c r="D106" s="33" t="n">
        <v>5.98</v>
      </c>
      <c r="E106" s="34" t="n">
        <v>12</v>
      </c>
      <c r="F106" s="35" t="n">
        <f aca="false">D106*E106</f>
        <v>71.76</v>
      </c>
      <c r="G106" s="34" t="n">
        <v>12</v>
      </c>
      <c r="H106" s="34" t="n">
        <f aca="false">G106-E106</f>
        <v>0</v>
      </c>
      <c r="I106" s="36" t="n">
        <f aca="false">D106*H106</f>
        <v>0</v>
      </c>
      <c r="J106" s="37" t="n">
        <f aca="false">D106*G106</f>
        <v>71.76</v>
      </c>
    </row>
    <row r="107" customFormat="false" ht="18.75" hidden="false" customHeight="false" outlineLevel="0" collapsed="false">
      <c r="A107" s="31" t="n">
        <v>839520</v>
      </c>
      <c r="B107" s="32" t="s">
        <v>155</v>
      </c>
      <c r="C107" s="32" t="s">
        <v>15</v>
      </c>
      <c r="D107" s="33" t="n">
        <v>5.98</v>
      </c>
      <c r="E107" s="34" t="n">
        <v>8</v>
      </c>
      <c r="F107" s="35" t="n">
        <f aca="false">D107*E107</f>
        <v>47.84</v>
      </c>
      <c r="G107" s="34" t="n">
        <v>11</v>
      </c>
      <c r="H107" s="34" t="n">
        <f aca="false">G107-E107</f>
        <v>3</v>
      </c>
      <c r="I107" s="36" t="n">
        <f aca="false">D107*H107</f>
        <v>17.94</v>
      </c>
      <c r="J107" s="37" t="n">
        <f aca="false">D107*G107</f>
        <v>65.78</v>
      </c>
    </row>
    <row r="108" customFormat="false" ht="19.5" hidden="false" customHeight="true" outlineLevel="0" collapsed="false">
      <c r="A108" s="73"/>
      <c r="B108" s="74"/>
      <c r="C108" s="74"/>
      <c r="D108" s="75"/>
      <c r="E108" s="76"/>
      <c r="F108" s="77"/>
      <c r="G108" s="76"/>
      <c r="H108" s="86" t="s">
        <v>5</v>
      </c>
      <c r="I108" s="87" t="n">
        <f aca="false">SUM(I83:I107)</f>
        <v>235.06</v>
      </c>
      <c r="J108" s="88" t="n">
        <f aca="false">SUM(J83:J107)</f>
        <v>12131.08</v>
      </c>
      <c r="K108" s="89" t="n">
        <f aca="false">I108</f>
        <v>235.06</v>
      </c>
      <c r="L108" s="89" t="n">
        <f aca="false">J108</f>
        <v>12131.08</v>
      </c>
    </row>
    <row r="109" customFormat="false" ht="19.5" hidden="false" customHeight="true" outlineLevel="0" collapsed="false">
      <c r="A109" s="8" t="s">
        <v>0</v>
      </c>
      <c r="B109" s="9" t="s">
        <v>1</v>
      </c>
      <c r="C109" s="9" t="s">
        <v>2</v>
      </c>
      <c r="D109" s="10" t="s">
        <v>3</v>
      </c>
      <c r="E109" s="11" t="s">
        <v>4</v>
      </c>
      <c r="F109" s="112" t="s">
        <v>5</v>
      </c>
      <c r="G109" s="13" t="s">
        <v>6</v>
      </c>
      <c r="H109" s="13" t="s">
        <v>7</v>
      </c>
      <c r="I109" s="14" t="s">
        <v>8</v>
      </c>
      <c r="J109" s="113" t="s">
        <v>9</v>
      </c>
    </row>
    <row r="110" customFormat="false" ht="18.75" hidden="false" customHeight="false" outlineLevel="0" collapsed="false">
      <c r="A110" s="24" t="s">
        <v>156</v>
      </c>
      <c r="B110" s="25" t="s">
        <v>157</v>
      </c>
      <c r="C110" s="25" t="s">
        <v>13</v>
      </c>
      <c r="D110" s="26" t="n">
        <v>5.98</v>
      </c>
      <c r="E110" s="27" t="n">
        <v>10</v>
      </c>
      <c r="F110" s="35" t="n">
        <f aca="false">D110*E110</f>
        <v>59.8</v>
      </c>
      <c r="G110" s="27" t="n">
        <v>10</v>
      </c>
      <c r="H110" s="27" t="n">
        <f aca="false">G110-E110</f>
        <v>0</v>
      </c>
      <c r="I110" s="29" t="n">
        <f aca="false">D110*H110</f>
        <v>0</v>
      </c>
      <c r="J110" s="30" t="n">
        <f aca="false">D110*G110</f>
        <v>59.8</v>
      </c>
    </row>
    <row r="111" customFormat="false" ht="18.75" hidden="false" customHeight="false" outlineLevel="0" collapsed="false">
      <c r="A111" s="24" t="s">
        <v>158</v>
      </c>
      <c r="B111" s="25" t="s">
        <v>159</v>
      </c>
      <c r="C111" s="25" t="s">
        <v>13</v>
      </c>
      <c r="D111" s="26" t="n">
        <v>5.98</v>
      </c>
      <c r="E111" s="27" t="n">
        <v>7</v>
      </c>
      <c r="F111" s="35" t="n">
        <f aca="false">D111*E111</f>
        <v>41.86</v>
      </c>
      <c r="G111" s="27" t="n">
        <v>7</v>
      </c>
      <c r="H111" s="27" t="n">
        <f aca="false">G111-E111</f>
        <v>0</v>
      </c>
      <c r="I111" s="29" t="n">
        <f aca="false">D111*H111</f>
        <v>0</v>
      </c>
      <c r="J111" s="30" t="n">
        <f aca="false">D111*G111</f>
        <v>41.86</v>
      </c>
    </row>
    <row r="112" customFormat="false" ht="18.75" hidden="false" customHeight="false" outlineLevel="0" collapsed="false">
      <c r="A112" s="24" t="s">
        <v>160</v>
      </c>
      <c r="B112" s="25" t="s">
        <v>161</v>
      </c>
      <c r="C112" s="25" t="s">
        <v>13</v>
      </c>
      <c r="D112" s="26" t="n">
        <v>5.98</v>
      </c>
      <c r="E112" s="27" t="n">
        <v>14</v>
      </c>
      <c r="F112" s="35" t="n">
        <f aca="false">D112*E112</f>
        <v>83.72</v>
      </c>
      <c r="G112" s="27" t="n">
        <v>14</v>
      </c>
      <c r="H112" s="27" t="n">
        <f aca="false">G112-E112</f>
        <v>0</v>
      </c>
      <c r="I112" s="29" t="n">
        <f aca="false">D112*H112</f>
        <v>0</v>
      </c>
      <c r="J112" s="30" t="n">
        <f aca="false">D112*G112</f>
        <v>83.72</v>
      </c>
    </row>
    <row r="113" customFormat="false" ht="18.75" hidden="false" customHeight="false" outlineLevel="0" collapsed="false">
      <c r="A113" s="24" t="s">
        <v>162</v>
      </c>
      <c r="B113" s="25" t="s">
        <v>163</v>
      </c>
      <c r="C113" s="25" t="s">
        <v>13</v>
      </c>
      <c r="D113" s="26" t="n">
        <v>5.98</v>
      </c>
      <c r="E113" s="27" t="n">
        <v>16</v>
      </c>
      <c r="F113" s="35" t="n">
        <f aca="false">D113*E113</f>
        <v>95.68</v>
      </c>
      <c r="G113" s="27" t="n">
        <v>15</v>
      </c>
      <c r="H113" s="27" t="n">
        <f aca="false">G113-E113</f>
        <v>-1</v>
      </c>
      <c r="I113" s="29" t="n">
        <f aca="false">D113*H113</f>
        <v>-5.98</v>
      </c>
      <c r="J113" s="30" t="n">
        <f aca="false">D113*G113</f>
        <v>89.7</v>
      </c>
    </row>
    <row r="114" customFormat="false" ht="18.75" hidden="false" customHeight="false" outlineLevel="0" collapsed="false">
      <c r="A114" s="44" t="s">
        <v>164</v>
      </c>
      <c r="B114" s="45" t="s">
        <v>165</v>
      </c>
      <c r="C114" s="45" t="s">
        <v>39</v>
      </c>
      <c r="D114" s="46" t="n">
        <v>5.98</v>
      </c>
      <c r="E114" s="47" t="n">
        <v>4</v>
      </c>
      <c r="F114" s="35" t="n">
        <f aca="false">D114*E114</f>
        <v>23.92</v>
      </c>
      <c r="G114" s="47" t="n">
        <v>4</v>
      </c>
      <c r="H114" s="47" t="n">
        <f aca="false">G114-E114</f>
        <v>0</v>
      </c>
      <c r="I114" s="48" t="n">
        <f aca="false">D114*H114</f>
        <v>0</v>
      </c>
      <c r="J114" s="49" t="n">
        <f aca="false">D114*G114</f>
        <v>23.92</v>
      </c>
    </row>
    <row r="115" customFormat="false" ht="18.75" hidden="false" customHeight="false" outlineLevel="0" collapsed="false">
      <c r="A115" s="44" t="s">
        <v>166</v>
      </c>
      <c r="B115" s="45" t="s">
        <v>167</v>
      </c>
      <c r="C115" s="45" t="s">
        <v>39</v>
      </c>
      <c r="D115" s="46" t="n">
        <v>5.98</v>
      </c>
      <c r="E115" s="47" t="n">
        <v>4</v>
      </c>
      <c r="F115" s="35" t="n">
        <f aca="false">D115*E115</f>
        <v>23.92</v>
      </c>
      <c r="G115" s="47" t="n">
        <v>5</v>
      </c>
      <c r="H115" s="47" t="n">
        <f aca="false">G115-E115</f>
        <v>1</v>
      </c>
      <c r="I115" s="48" t="n">
        <f aca="false">D115*H115</f>
        <v>5.98</v>
      </c>
      <c r="J115" s="49" t="n">
        <f aca="false">D115*G115</f>
        <v>29.9</v>
      </c>
    </row>
    <row r="116" customFormat="false" ht="18.75" hidden="false" customHeight="false" outlineLevel="0" collapsed="false">
      <c r="A116" s="65" t="n">
        <v>5028</v>
      </c>
      <c r="B116" s="66" t="s">
        <v>168</v>
      </c>
      <c r="C116" s="66" t="s">
        <v>30</v>
      </c>
      <c r="D116" s="67" t="n">
        <v>5.98</v>
      </c>
      <c r="E116" s="68" t="n">
        <v>3</v>
      </c>
      <c r="F116" s="69" t="n">
        <f aca="false">D116*E116</f>
        <v>17.94</v>
      </c>
      <c r="G116" s="68" t="n">
        <v>4</v>
      </c>
      <c r="H116" s="68" t="n">
        <f aca="false">G116-E116</f>
        <v>1</v>
      </c>
      <c r="I116" s="70" t="n">
        <f aca="false">D116*H116</f>
        <v>5.98</v>
      </c>
      <c r="J116" s="71" t="n">
        <f aca="false">D116*G116</f>
        <v>23.92</v>
      </c>
    </row>
    <row r="117" customFormat="false" ht="18.75" hidden="false" customHeight="false" outlineLevel="0" collapsed="false">
      <c r="A117" s="50" t="n">
        <v>175507</v>
      </c>
      <c r="B117" s="51" t="s">
        <v>169</v>
      </c>
      <c r="C117" s="51" t="s">
        <v>25</v>
      </c>
      <c r="D117" s="52" t="n">
        <v>5.98</v>
      </c>
      <c r="E117" s="53" t="n">
        <v>7</v>
      </c>
      <c r="F117" s="35" t="n">
        <f aca="false">D117*E117</f>
        <v>41.86</v>
      </c>
      <c r="G117" s="54" t="n">
        <v>8</v>
      </c>
      <c r="H117" s="54" t="n">
        <f aca="false">G117-E117</f>
        <v>1</v>
      </c>
      <c r="I117" s="55" t="n">
        <f aca="false">D117*H117</f>
        <v>5.98</v>
      </c>
      <c r="J117" s="56" t="n">
        <f aca="false">D117*G117</f>
        <v>47.84</v>
      </c>
    </row>
    <row r="118" customFormat="false" ht="18.75" hidden="false" customHeight="false" outlineLevel="0" collapsed="false">
      <c r="A118" s="31" t="n">
        <v>839521</v>
      </c>
      <c r="B118" s="32" t="s">
        <v>170</v>
      </c>
      <c r="C118" s="32" t="s">
        <v>15</v>
      </c>
      <c r="D118" s="33" t="n">
        <v>5.98</v>
      </c>
      <c r="E118" s="34" t="n">
        <v>2</v>
      </c>
      <c r="F118" s="35" t="n">
        <f aca="false">D118*E118</f>
        <v>11.96</v>
      </c>
      <c r="G118" s="34" t="n">
        <v>2</v>
      </c>
      <c r="H118" s="34" t="n">
        <f aca="false">G118-E118</f>
        <v>0</v>
      </c>
      <c r="I118" s="36" t="n">
        <f aca="false">D118*H118</f>
        <v>0</v>
      </c>
      <c r="J118" s="37" t="n">
        <f aca="false">D118*G118</f>
        <v>11.96</v>
      </c>
    </row>
    <row r="119" customFormat="false" ht="18.75" hidden="false" customHeight="false" outlineLevel="0" collapsed="false">
      <c r="A119" s="79" t="s">
        <v>171</v>
      </c>
      <c r="B119" s="80" t="s">
        <v>172</v>
      </c>
      <c r="C119" s="80" t="s">
        <v>47</v>
      </c>
      <c r="D119" s="91" t="n">
        <v>2.31</v>
      </c>
      <c r="E119" s="82" t="n">
        <v>19</v>
      </c>
      <c r="F119" s="115"/>
      <c r="G119" s="82" t="n">
        <v>19</v>
      </c>
      <c r="H119" s="82" t="n">
        <f aca="false">G119-E119</f>
        <v>0</v>
      </c>
      <c r="I119" s="83" t="n">
        <f aca="false">D119*H119</f>
        <v>0</v>
      </c>
      <c r="J119" s="84" t="n">
        <f aca="false">D119*G119</f>
        <v>43.89</v>
      </c>
    </row>
    <row r="120" customFormat="false" ht="18.75" hidden="false" customHeight="false" outlineLevel="0" collapsed="false">
      <c r="A120" s="24" t="s">
        <v>173</v>
      </c>
      <c r="B120" s="25" t="s">
        <v>174</v>
      </c>
      <c r="C120" s="25" t="s">
        <v>13</v>
      </c>
      <c r="D120" s="26" t="n">
        <v>17.95</v>
      </c>
      <c r="E120" s="27" t="n">
        <v>8</v>
      </c>
      <c r="F120" s="35" t="n">
        <f aca="false">D120*E120</f>
        <v>143.6</v>
      </c>
      <c r="G120" s="27" t="n">
        <v>8</v>
      </c>
      <c r="H120" s="27" t="n">
        <f aca="false">G120-E120</f>
        <v>0</v>
      </c>
      <c r="I120" s="29" t="n">
        <f aca="false">D120*H120</f>
        <v>0</v>
      </c>
      <c r="J120" s="30" t="n">
        <f aca="false">D120*G120</f>
        <v>143.6</v>
      </c>
    </row>
    <row r="121" customFormat="false" ht="18.75" hidden="false" customHeight="false" outlineLevel="0" collapsed="false">
      <c r="A121" s="44" t="s">
        <v>175</v>
      </c>
      <c r="B121" s="45" t="s">
        <v>176</v>
      </c>
      <c r="C121" s="45" t="s">
        <v>39</v>
      </c>
      <c r="D121" s="46" t="n">
        <v>135.96</v>
      </c>
      <c r="E121" s="47" t="n">
        <v>5</v>
      </c>
      <c r="F121" s="35" t="n">
        <f aca="false">D121*E121</f>
        <v>679.8</v>
      </c>
      <c r="G121" s="47" t="n">
        <v>9</v>
      </c>
      <c r="H121" s="47" t="n">
        <f aca="false">G121-E121</f>
        <v>4</v>
      </c>
      <c r="I121" s="48" t="n">
        <f aca="false">D121*H121</f>
        <v>543.84</v>
      </c>
      <c r="J121" s="49" t="n">
        <f aca="false">D121*G121</f>
        <v>1223.64</v>
      </c>
    </row>
    <row r="122" customFormat="false" ht="18.75" hidden="false" customHeight="false" outlineLevel="0" collapsed="false">
      <c r="A122" s="44" t="s">
        <v>177</v>
      </c>
      <c r="B122" s="45" t="s">
        <v>178</v>
      </c>
      <c r="C122" s="45" t="s">
        <v>39</v>
      </c>
      <c r="D122" s="46" t="n">
        <v>139.96</v>
      </c>
      <c r="E122" s="47" t="n">
        <v>4</v>
      </c>
      <c r="F122" s="35" t="n">
        <f aca="false">D122*E122</f>
        <v>559.84</v>
      </c>
      <c r="G122" s="47" t="n">
        <v>4</v>
      </c>
      <c r="H122" s="47" t="n">
        <f aca="false">G122-E122</f>
        <v>0</v>
      </c>
      <c r="I122" s="48" t="n">
        <f aca="false">D122*H122</f>
        <v>0</v>
      </c>
      <c r="J122" s="49" t="n">
        <f aca="false">D122*G122</f>
        <v>559.84</v>
      </c>
    </row>
    <row r="123" customFormat="false" ht="18.75" hidden="false" customHeight="false" outlineLevel="0" collapsed="false">
      <c r="A123" s="50" t="n">
        <v>413503</v>
      </c>
      <c r="B123" s="51" t="s">
        <v>179</v>
      </c>
      <c r="C123" s="51" t="s">
        <v>25</v>
      </c>
      <c r="D123" s="52" t="n">
        <v>45.32</v>
      </c>
      <c r="E123" s="53" t="n">
        <v>0</v>
      </c>
      <c r="F123" s="35" t="n">
        <f aca="false">D123*E123</f>
        <v>0</v>
      </c>
      <c r="G123" s="54" t="n">
        <v>0</v>
      </c>
      <c r="H123" s="54" t="n">
        <f aca="false">G123-E123</f>
        <v>0</v>
      </c>
      <c r="I123" s="55" t="n">
        <f aca="false">D123*H123</f>
        <v>0</v>
      </c>
      <c r="J123" s="56" t="n">
        <f aca="false">D123*G123</f>
        <v>0</v>
      </c>
    </row>
    <row r="124" customFormat="false" ht="18.75" hidden="false" customHeight="false" outlineLevel="0" collapsed="false">
      <c r="A124" s="24" t="n">
        <v>9503</v>
      </c>
      <c r="B124" s="25" t="s">
        <v>180</v>
      </c>
      <c r="C124" s="25" t="s">
        <v>13</v>
      </c>
      <c r="D124" s="26" t="n">
        <v>2.13</v>
      </c>
      <c r="E124" s="27" t="n">
        <v>0</v>
      </c>
      <c r="F124" s="35" t="n">
        <f aca="false">D124*E124</f>
        <v>0</v>
      </c>
      <c r="G124" s="27" t="n">
        <v>0</v>
      </c>
      <c r="H124" s="27" t="n">
        <f aca="false">G124-E124</f>
        <v>0</v>
      </c>
      <c r="I124" s="29" t="n">
        <f aca="false">D124*H124</f>
        <v>0</v>
      </c>
      <c r="J124" s="30" t="n">
        <f aca="false">D124*G124</f>
        <v>0</v>
      </c>
    </row>
    <row r="125" customFormat="false" ht="18.75" hidden="false" customHeight="false" outlineLevel="0" collapsed="false">
      <c r="A125" s="24" t="n">
        <v>380840</v>
      </c>
      <c r="B125" s="25" t="s">
        <v>181</v>
      </c>
      <c r="C125" s="25" t="s">
        <v>13</v>
      </c>
      <c r="D125" s="26" t="n">
        <v>4.78</v>
      </c>
      <c r="E125" s="27" t="n">
        <v>24</v>
      </c>
      <c r="F125" s="35" t="n">
        <f aca="false">D125*E125</f>
        <v>114.72</v>
      </c>
      <c r="G125" s="27" t="n">
        <v>20</v>
      </c>
      <c r="H125" s="27" t="n">
        <f aca="false">G125-E125</f>
        <v>-4</v>
      </c>
      <c r="I125" s="29" t="n">
        <f aca="false">D125*H125</f>
        <v>-19.12</v>
      </c>
      <c r="J125" s="30" t="n">
        <f aca="false">D125*G125</f>
        <v>95.6</v>
      </c>
    </row>
    <row r="126" customFormat="false" ht="18.75" hidden="false" customHeight="false" outlineLevel="0" collapsed="false">
      <c r="A126" s="50" t="n">
        <v>21712</v>
      </c>
      <c r="B126" s="51" t="s">
        <v>182</v>
      </c>
      <c r="C126" s="51" t="s">
        <v>25</v>
      </c>
      <c r="D126" s="52" t="n">
        <v>14.38</v>
      </c>
      <c r="E126" s="53" t="n">
        <v>6</v>
      </c>
      <c r="F126" s="35" t="n">
        <f aca="false">D126*E126</f>
        <v>86.28</v>
      </c>
      <c r="G126" s="54" t="n">
        <v>6</v>
      </c>
      <c r="H126" s="54" t="n">
        <f aca="false">G126-E126</f>
        <v>0</v>
      </c>
      <c r="I126" s="55" t="n">
        <f aca="false">D126*H126</f>
        <v>0</v>
      </c>
      <c r="J126" s="56" t="n">
        <f aca="false">D126*G126</f>
        <v>86.28</v>
      </c>
    </row>
    <row r="127" customFormat="false" ht="18.75" hidden="false" customHeight="false" outlineLevel="0" collapsed="false">
      <c r="A127" s="24" t="n">
        <v>3210</v>
      </c>
      <c r="B127" s="25" t="s">
        <v>183</v>
      </c>
      <c r="C127" s="25" t="s">
        <v>13</v>
      </c>
      <c r="D127" s="26" t="n">
        <v>28.77</v>
      </c>
      <c r="E127" s="27" t="n">
        <v>15</v>
      </c>
      <c r="F127" s="35" t="n">
        <f aca="false">D127*E127</f>
        <v>431.55</v>
      </c>
      <c r="G127" s="27" t="n">
        <v>15</v>
      </c>
      <c r="H127" s="27" t="n">
        <f aca="false">E127-G127</f>
        <v>0</v>
      </c>
      <c r="I127" s="29" t="n">
        <f aca="false">D127*H127</f>
        <v>0</v>
      </c>
      <c r="J127" s="30" t="n">
        <f aca="false">D127*G127</f>
        <v>431.55</v>
      </c>
    </row>
    <row r="128" customFormat="false" ht="18.75" hidden="false" customHeight="false" outlineLevel="0" collapsed="false">
      <c r="A128" s="57" t="n">
        <v>8900</v>
      </c>
      <c r="B128" s="58" t="s">
        <v>184</v>
      </c>
      <c r="C128" s="58" t="s">
        <v>27</v>
      </c>
      <c r="D128" s="59" t="n">
        <v>14.38</v>
      </c>
      <c r="E128" s="60" t="n">
        <v>0</v>
      </c>
      <c r="F128" s="35" t="n">
        <f aca="false">D128*E128</f>
        <v>0</v>
      </c>
      <c r="G128" s="60" t="n">
        <v>0</v>
      </c>
      <c r="H128" s="61" t="n">
        <f aca="false">G128-E128</f>
        <v>0</v>
      </c>
      <c r="I128" s="62" t="n">
        <f aca="false">D128*H128</f>
        <v>0</v>
      </c>
      <c r="J128" s="63" t="n">
        <f aca="false">D128*G128</f>
        <v>0</v>
      </c>
    </row>
    <row r="129" customFormat="false" ht="18.75" hidden="false" customHeight="false" outlineLevel="0" collapsed="false">
      <c r="A129" s="44" t="s">
        <v>185</v>
      </c>
      <c r="B129" s="45" t="s">
        <v>186</v>
      </c>
      <c r="C129" s="45" t="s">
        <v>39</v>
      </c>
      <c r="D129" s="46" t="n">
        <v>135.96</v>
      </c>
      <c r="E129" s="47" t="n">
        <v>0</v>
      </c>
      <c r="F129" s="35" t="n">
        <f aca="false">D129*E129</f>
        <v>0</v>
      </c>
      <c r="G129" s="47" t="n">
        <v>0</v>
      </c>
      <c r="H129" s="47" t="n">
        <f aca="false">G129-E129</f>
        <v>0</v>
      </c>
      <c r="I129" s="48" t="n">
        <f aca="false">D129*H129</f>
        <v>0</v>
      </c>
      <c r="J129" s="49" t="n">
        <f aca="false">D129*G129</f>
        <v>0</v>
      </c>
    </row>
    <row r="130" customFormat="false" ht="18.75" hidden="false" customHeight="false" outlineLevel="0" collapsed="false">
      <c r="A130" s="44" t="s">
        <v>187</v>
      </c>
      <c r="B130" s="45" t="s">
        <v>188</v>
      </c>
      <c r="C130" s="45" t="s">
        <v>39</v>
      </c>
      <c r="D130" s="46" t="n">
        <v>135.96</v>
      </c>
      <c r="E130" s="47" t="n">
        <v>0</v>
      </c>
      <c r="F130" s="35" t="n">
        <f aca="false">D130*E130</f>
        <v>0</v>
      </c>
      <c r="G130" s="47" t="n">
        <v>0</v>
      </c>
      <c r="H130" s="47" t="n">
        <f aca="false">G130-E130</f>
        <v>0</v>
      </c>
      <c r="I130" s="48" t="n">
        <f aca="false">D130*H130</f>
        <v>0</v>
      </c>
      <c r="J130" s="49" t="n">
        <f aca="false">D130*G130</f>
        <v>0</v>
      </c>
    </row>
    <row r="131" customFormat="false" ht="18.75" hidden="false" customHeight="false" outlineLevel="0" collapsed="false">
      <c r="A131" s="24" t="n">
        <v>3215</v>
      </c>
      <c r="B131" s="25" t="s">
        <v>189</v>
      </c>
      <c r="C131" s="25" t="s">
        <v>13</v>
      </c>
      <c r="D131" s="26" t="n">
        <v>14.38</v>
      </c>
      <c r="E131" s="27" t="n">
        <v>3</v>
      </c>
      <c r="F131" s="35" t="n">
        <f aca="false">D131*E131</f>
        <v>43.14</v>
      </c>
      <c r="G131" s="27" t="n">
        <v>3</v>
      </c>
      <c r="H131" s="27" t="n">
        <f aca="false">G131-E131</f>
        <v>0</v>
      </c>
      <c r="I131" s="29" t="n">
        <f aca="false">D131*H131</f>
        <v>0</v>
      </c>
      <c r="J131" s="30" t="n">
        <f aca="false">D131*G131</f>
        <v>43.14</v>
      </c>
    </row>
    <row r="132" customFormat="false" ht="18.75" hidden="false" customHeight="false" outlineLevel="0" collapsed="false">
      <c r="A132" s="24" t="n">
        <v>12090</v>
      </c>
      <c r="B132" s="25" t="s">
        <v>190</v>
      </c>
      <c r="C132" s="25" t="s">
        <v>13</v>
      </c>
      <c r="D132" s="26" t="n">
        <v>135.96</v>
      </c>
      <c r="E132" s="27" t="n">
        <v>2</v>
      </c>
      <c r="F132" s="35" t="n">
        <f aca="false">D132*E132</f>
        <v>271.92</v>
      </c>
      <c r="G132" s="27" t="n">
        <v>1</v>
      </c>
      <c r="H132" s="27" t="n">
        <f aca="false">G132-E132</f>
        <v>-1</v>
      </c>
      <c r="I132" s="29" t="n">
        <f aca="false">D132*H132</f>
        <v>-135.96</v>
      </c>
      <c r="J132" s="30" t="n">
        <f aca="false">D132*G132</f>
        <v>135.96</v>
      </c>
    </row>
    <row r="133" customFormat="false" ht="18.75" hidden="false" customHeight="false" outlineLevel="0" collapsed="false">
      <c r="A133" s="24" t="n">
        <v>12091</v>
      </c>
      <c r="B133" s="25" t="s">
        <v>190</v>
      </c>
      <c r="C133" s="25" t="s">
        <v>13</v>
      </c>
      <c r="D133" s="26" t="n">
        <v>135.96</v>
      </c>
      <c r="E133" s="27" t="n">
        <v>3</v>
      </c>
      <c r="F133" s="35" t="n">
        <f aca="false">D133*E133</f>
        <v>407.88</v>
      </c>
      <c r="G133" s="27" t="n">
        <v>2</v>
      </c>
      <c r="H133" s="27" t="n">
        <f aca="false">G133-E133</f>
        <v>-1</v>
      </c>
      <c r="I133" s="29" t="n">
        <f aca="false">D133*H133</f>
        <v>-135.96</v>
      </c>
      <c r="J133" s="30" t="n">
        <f aca="false">D133*G133</f>
        <v>271.92</v>
      </c>
    </row>
    <row r="134" customFormat="false" ht="18.75" hidden="false" customHeight="false" outlineLevel="0" collapsed="false">
      <c r="A134" s="24" t="n">
        <v>12092</v>
      </c>
      <c r="B134" s="25" t="s">
        <v>190</v>
      </c>
      <c r="C134" s="25" t="s">
        <v>13</v>
      </c>
      <c r="D134" s="26" t="n">
        <v>135.96</v>
      </c>
      <c r="E134" s="27" t="n">
        <v>5</v>
      </c>
      <c r="F134" s="35" t="n">
        <f aca="false">D134*E134</f>
        <v>679.8</v>
      </c>
      <c r="G134" s="27" t="n">
        <v>3</v>
      </c>
      <c r="H134" s="27" t="n">
        <f aca="false">G134-E134</f>
        <v>-2</v>
      </c>
      <c r="I134" s="29" t="n">
        <f aca="false">D134*H134</f>
        <v>-271.92</v>
      </c>
      <c r="J134" s="30" t="n">
        <f aca="false">D134*G134</f>
        <v>407.88</v>
      </c>
    </row>
    <row r="135" customFormat="false" ht="19.5" hidden="false" customHeight="true" outlineLevel="0" collapsed="false">
      <c r="A135" s="73"/>
      <c r="B135" s="74"/>
      <c r="C135" s="74"/>
      <c r="D135" s="75"/>
      <c r="E135" s="76"/>
      <c r="F135" s="77"/>
      <c r="G135" s="76"/>
      <c r="H135" s="86" t="s">
        <v>5</v>
      </c>
      <c r="I135" s="87" t="n">
        <f aca="false">SUM(I110:I134)</f>
        <v>-7.16000000000003</v>
      </c>
      <c r="J135" s="88" t="n">
        <f aca="false">SUM(J110:J134)</f>
        <v>3855.92</v>
      </c>
      <c r="K135" s="89" t="n">
        <f aca="false">I135</f>
        <v>-7.16000000000003</v>
      </c>
      <c r="L135" s="89" t="n">
        <f aca="false">J135</f>
        <v>3855.92</v>
      </c>
    </row>
    <row r="136" customFormat="false" ht="19.5" hidden="false" customHeight="true" outlineLevel="0" collapsed="false">
      <c r="A136" s="8" t="s">
        <v>0</v>
      </c>
      <c r="B136" s="9" t="s">
        <v>1</v>
      </c>
      <c r="C136" s="9" t="s">
        <v>2</v>
      </c>
      <c r="D136" s="10" t="s">
        <v>3</v>
      </c>
      <c r="E136" s="11" t="s">
        <v>4</v>
      </c>
      <c r="F136" s="112" t="s">
        <v>5</v>
      </c>
      <c r="G136" s="11" t="s">
        <v>6</v>
      </c>
      <c r="H136" s="13" t="s">
        <v>7</v>
      </c>
      <c r="I136" s="14" t="s">
        <v>8</v>
      </c>
      <c r="J136" s="113" t="s">
        <v>9</v>
      </c>
    </row>
    <row r="137" customFormat="false" ht="18.75" hidden="false" customHeight="false" outlineLevel="0" collapsed="false">
      <c r="A137" s="24" t="n">
        <v>12093</v>
      </c>
      <c r="B137" s="25" t="s">
        <v>190</v>
      </c>
      <c r="C137" s="25" t="s">
        <v>13</v>
      </c>
      <c r="D137" s="26" t="n">
        <v>135.96</v>
      </c>
      <c r="E137" s="27" t="n">
        <v>0</v>
      </c>
      <c r="F137" s="35" t="n">
        <f aca="false">D137*E137</f>
        <v>0</v>
      </c>
      <c r="G137" s="27" t="n">
        <v>0</v>
      </c>
      <c r="H137" s="27" t="n">
        <f aca="false">G137-E137</f>
        <v>0</v>
      </c>
      <c r="I137" s="29" t="n">
        <f aca="false">D137*H137</f>
        <v>0</v>
      </c>
      <c r="J137" s="30" t="n">
        <f aca="false">D137*G137</f>
        <v>0</v>
      </c>
    </row>
    <row r="138" customFormat="false" ht="18.75" hidden="false" customHeight="false" outlineLevel="0" collapsed="false">
      <c r="A138" s="24" t="n">
        <v>12094</v>
      </c>
      <c r="B138" s="25" t="s">
        <v>190</v>
      </c>
      <c r="C138" s="25" t="s">
        <v>13</v>
      </c>
      <c r="D138" s="26" t="n">
        <v>135.96</v>
      </c>
      <c r="E138" s="27" t="n">
        <v>0</v>
      </c>
      <c r="F138" s="35" t="n">
        <f aca="false">D138*E138</f>
        <v>0</v>
      </c>
      <c r="G138" s="27" t="n">
        <v>0</v>
      </c>
      <c r="H138" s="27" t="n">
        <f aca="false">G138-E138</f>
        <v>0</v>
      </c>
      <c r="I138" s="29" t="n">
        <f aca="false">D138*H138</f>
        <v>0</v>
      </c>
      <c r="J138" s="30" t="n">
        <f aca="false">D138*G138</f>
        <v>0</v>
      </c>
    </row>
    <row r="139" customFormat="false" ht="18.75" hidden="false" customHeight="false" outlineLevel="0" collapsed="false">
      <c r="A139" s="50" t="n">
        <v>413504</v>
      </c>
      <c r="B139" s="51" t="s">
        <v>191</v>
      </c>
      <c r="C139" s="51" t="s">
        <v>25</v>
      </c>
      <c r="D139" s="52" t="n">
        <v>45.32</v>
      </c>
      <c r="E139" s="53" t="n">
        <v>3</v>
      </c>
      <c r="F139" s="35" t="n">
        <f aca="false">D139*E139</f>
        <v>135.96</v>
      </c>
      <c r="G139" s="54" t="n">
        <v>3</v>
      </c>
      <c r="H139" s="54" t="n">
        <f aca="false">G139-E139</f>
        <v>0</v>
      </c>
      <c r="I139" s="55" t="n">
        <f aca="false">D139*H139</f>
        <v>0</v>
      </c>
      <c r="J139" s="56" t="n">
        <f aca="false">D139*G139</f>
        <v>135.96</v>
      </c>
    </row>
    <row r="140" customFormat="false" ht="18.75" hidden="false" customHeight="false" outlineLevel="0" collapsed="false">
      <c r="A140" s="24" t="n">
        <v>12030</v>
      </c>
      <c r="B140" s="25" t="s">
        <v>192</v>
      </c>
      <c r="C140" s="25" t="s">
        <v>13</v>
      </c>
      <c r="D140" s="26" t="n">
        <v>135.93</v>
      </c>
      <c r="E140" s="27" t="n">
        <v>0</v>
      </c>
      <c r="F140" s="35" t="n">
        <f aca="false">D140*E140</f>
        <v>0</v>
      </c>
      <c r="G140" s="27" t="n">
        <v>0</v>
      </c>
      <c r="H140" s="27" t="n">
        <f aca="false">G140-E140</f>
        <v>0</v>
      </c>
      <c r="I140" s="29" t="n">
        <f aca="false">D140*H140</f>
        <v>0</v>
      </c>
      <c r="J140" s="30" t="n">
        <f aca="false">D140*G140</f>
        <v>0</v>
      </c>
    </row>
    <row r="141" customFormat="false" ht="18.75" hidden="false" customHeight="false" outlineLevel="0" collapsed="false">
      <c r="A141" s="24" t="n">
        <v>12035</v>
      </c>
      <c r="B141" s="25" t="s">
        <v>193</v>
      </c>
      <c r="C141" s="25" t="s">
        <v>13</v>
      </c>
      <c r="D141" s="26" t="n">
        <v>135.96</v>
      </c>
      <c r="E141" s="27" t="n">
        <v>11</v>
      </c>
      <c r="F141" s="35" t="n">
        <f aca="false">D141*E141</f>
        <v>1495.56</v>
      </c>
      <c r="G141" s="27" t="n">
        <v>11</v>
      </c>
      <c r="H141" s="27" t="n">
        <f aca="false">G141-E141</f>
        <v>0</v>
      </c>
      <c r="I141" s="29" t="n">
        <f aca="false">D141*H141</f>
        <v>0</v>
      </c>
      <c r="J141" s="30" t="n">
        <f aca="false">D141*G141</f>
        <v>1495.56</v>
      </c>
    </row>
    <row r="142" customFormat="false" ht="18.75" hidden="false" customHeight="false" outlineLevel="0" collapsed="false">
      <c r="A142" s="24" t="n">
        <v>12037</v>
      </c>
      <c r="B142" s="25" t="s">
        <v>194</v>
      </c>
      <c r="C142" s="25" t="s">
        <v>13</v>
      </c>
      <c r="D142" s="26" t="n">
        <v>135.96</v>
      </c>
      <c r="E142" s="27" t="n">
        <v>15</v>
      </c>
      <c r="F142" s="35" t="n">
        <f aca="false">D142*E142</f>
        <v>2039.4</v>
      </c>
      <c r="G142" s="27" t="n">
        <v>15</v>
      </c>
      <c r="H142" s="27" t="n">
        <f aca="false">G142-E142</f>
        <v>0</v>
      </c>
      <c r="I142" s="29" t="n">
        <f aca="false">D142*H142</f>
        <v>0</v>
      </c>
      <c r="J142" s="30" t="n">
        <f aca="false">D142*G142</f>
        <v>2039.4</v>
      </c>
    </row>
    <row r="143" customFormat="false" ht="18.75" hidden="false" customHeight="false" outlineLevel="0" collapsed="false">
      <c r="A143" s="24" t="n">
        <v>12039</v>
      </c>
      <c r="B143" s="25" t="s">
        <v>195</v>
      </c>
      <c r="C143" s="25" t="s">
        <v>13</v>
      </c>
      <c r="D143" s="26" t="n">
        <v>135.96</v>
      </c>
      <c r="E143" s="27" t="n">
        <v>8</v>
      </c>
      <c r="F143" s="35" t="n">
        <f aca="false">D143*E143</f>
        <v>1087.68</v>
      </c>
      <c r="G143" s="27" t="n">
        <v>8</v>
      </c>
      <c r="H143" s="27" t="n">
        <f aca="false">G143-E143</f>
        <v>0</v>
      </c>
      <c r="I143" s="29" t="n">
        <f aca="false">D143*H143</f>
        <v>0</v>
      </c>
      <c r="J143" s="30" t="n">
        <f aca="false">D143*G143</f>
        <v>1087.68</v>
      </c>
    </row>
    <row r="144" customFormat="false" ht="18.75" hidden="false" customHeight="false" outlineLevel="0" collapsed="false">
      <c r="A144" s="24" t="n">
        <v>12032</v>
      </c>
      <c r="B144" s="25" t="s">
        <v>196</v>
      </c>
      <c r="C144" s="25" t="s">
        <v>13</v>
      </c>
      <c r="D144" s="26" t="n">
        <v>135.96</v>
      </c>
      <c r="E144" s="116" t="n">
        <v>1</v>
      </c>
      <c r="F144" s="35" t="n">
        <f aca="false">D144*E144</f>
        <v>135.96</v>
      </c>
      <c r="G144" s="27" t="n">
        <v>1</v>
      </c>
      <c r="H144" s="27" t="n">
        <f aca="false">G144-E144</f>
        <v>0</v>
      </c>
      <c r="I144" s="29" t="n">
        <f aca="false">D144*H144</f>
        <v>0</v>
      </c>
      <c r="J144" s="30" t="n">
        <f aca="false">D144*G144</f>
        <v>135.96</v>
      </c>
    </row>
    <row r="145" customFormat="false" ht="18.75" hidden="false" customHeight="false" outlineLevel="0" collapsed="false">
      <c r="A145" s="24" t="n">
        <v>12033</v>
      </c>
      <c r="B145" s="25" t="s">
        <v>197</v>
      </c>
      <c r="C145" s="25" t="s">
        <v>13</v>
      </c>
      <c r="D145" s="26" t="n">
        <v>135.96</v>
      </c>
      <c r="E145" s="116" t="n">
        <v>1</v>
      </c>
      <c r="F145" s="35" t="n">
        <f aca="false">D145*E145</f>
        <v>135.96</v>
      </c>
      <c r="G145" s="27" t="n">
        <v>1</v>
      </c>
      <c r="H145" s="27" t="n">
        <f aca="false">G145-E145</f>
        <v>0</v>
      </c>
      <c r="I145" s="29" t="n">
        <f aca="false">D145*H145</f>
        <v>0</v>
      </c>
      <c r="J145" s="30" t="n">
        <f aca="false">D145*G145</f>
        <v>135.96</v>
      </c>
    </row>
    <row r="146" customFormat="false" ht="18.75" hidden="false" customHeight="false" outlineLevel="0" collapsed="false">
      <c r="A146" s="24" t="n">
        <v>12038</v>
      </c>
      <c r="B146" s="25" t="s">
        <v>198</v>
      </c>
      <c r="C146" s="25" t="s">
        <v>13</v>
      </c>
      <c r="D146" s="26" t="n">
        <v>135.96</v>
      </c>
      <c r="E146" s="116" t="n">
        <v>0</v>
      </c>
      <c r="F146" s="35" t="n">
        <f aca="false">D146*E146</f>
        <v>0</v>
      </c>
      <c r="G146" s="27" t="n">
        <v>0</v>
      </c>
      <c r="H146" s="27" t="n">
        <f aca="false">G146-E146</f>
        <v>0</v>
      </c>
      <c r="I146" s="29" t="n">
        <f aca="false">D146*H146</f>
        <v>0</v>
      </c>
      <c r="J146" s="30" t="n">
        <f aca="false">D146*G146</f>
        <v>0</v>
      </c>
    </row>
    <row r="147" customFormat="false" ht="18.75" hidden="false" customHeight="false" outlineLevel="0" collapsed="false">
      <c r="A147" s="31" t="s">
        <v>199</v>
      </c>
      <c r="B147" s="32" t="s">
        <v>200</v>
      </c>
      <c r="C147" s="32" t="s">
        <v>15</v>
      </c>
      <c r="D147" s="33" t="n">
        <v>135.96</v>
      </c>
      <c r="E147" s="34" t="n">
        <v>5</v>
      </c>
      <c r="F147" s="35" t="n">
        <f aca="false">D147*E147</f>
        <v>679.8</v>
      </c>
      <c r="G147" s="34" t="n">
        <v>8</v>
      </c>
      <c r="H147" s="34" t="n">
        <f aca="false">G147-E147</f>
        <v>3</v>
      </c>
      <c r="I147" s="36" t="n">
        <f aca="false">D147*H147</f>
        <v>407.88</v>
      </c>
      <c r="J147" s="37" t="n">
        <f aca="false">D147*G147</f>
        <v>1087.68</v>
      </c>
    </row>
    <row r="148" customFormat="false" ht="18.75" hidden="false" customHeight="false" outlineLevel="0" collapsed="false">
      <c r="A148" s="31" t="s">
        <v>201</v>
      </c>
      <c r="B148" s="32" t="s">
        <v>202</v>
      </c>
      <c r="C148" s="32" t="s">
        <v>15</v>
      </c>
      <c r="D148" s="33" t="n">
        <v>135.96</v>
      </c>
      <c r="E148" s="34" t="n">
        <v>16</v>
      </c>
      <c r="F148" s="35" t="n">
        <f aca="false">D148*E148</f>
        <v>2175.36</v>
      </c>
      <c r="G148" s="34" t="n">
        <v>22</v>
      </c>
      <c r="H148" s="34" t="n">
        <f aca="false">G148-E148</f>
        <v>6</v>
      </c>
      <c r="I148" s="36" t="n">
        <f aca="false">D148*H148</f>
        <v>815.76</v>
      </c>
      <c r="J148" s="37" t="n">
        <f aca="false">D148*G148</f>
        <v>2991.12</v>
      </c>
    </row>
    <row r="149" customFormat="false" ht="18.75" hidden="false" customHeight="false" outlineLevel="0" collapsed="false">
      <c r="A149" s="31" t="s">
        <v>203</v>
      </c>
      <c r="B149" s="32" t="s">
        <v>204</v>
      </c>
      <c r="C149" s="32" t="s">
        <v>15</v>
      </c>
      <c r="D149" s="33" t="n">
        <v>135.96</v>
      </c>
      <c r="E149" s="34" t="n">
        <v>6</v>
      </c>
      <c r="F149" s="35" t="n">
        <f aca="false">D149*E149</f>
        <v>815.76</v>
      </c>
      <c r="G149" s="34" t="n">
        <v>5</v>
      </c>
      <c r="H149" s="34" t="n">
        <f aca="false">G149-E149</f>
        <v>-1</v>
      </c>
      <c r="I149" s="36" t="n">
        <f aca="false">D149*H149</f>
        <v>-135.96</v>
      </c>
      <c r="J149" s="37" t="n">
        <f aca="false">D149*G149</f>
        <v>679.8</v>
      </c>
    </row>
    <row r="150" customFormat="false" ht="18.75" hidden="false" customHeight="false" outlineLevel="0" collapsed="false">
      <c r="A150" s="31" t="s">
        <v>205</v>
      </c>
      <c r="B150" s="32" t="s">
        <v>206</v>
      </c>
      <c r="C150" s="32" t="s">
        <v>15</v>
      </c>
      <c r="D150" s="33" t="n">
        <v>135.96</v>
      </c>
      <c r="E150" s="34" t="n">
        <v>3</v>
      </c>
      <c r="F150" s="35" t="n">
        <f aca="false">D150*E150</f>
        <v>407.88</v>
      </c>
      <c r="G150" s="34" t="n">
        <v>3</v>
      </c>
      <c r="H150" s="34" t="n">
        <f aca="false">G150-E150</f>
        <v>0</v>
      </c>
      <c r="I150" s="36" t="n">
        <f aca="false">D150*H150</f>
        <v>0</v>
      </c>
      <c r="J150" s="37" t="n">
        <f aca="false">D150*G150</f>
        <v>407.88</v>
      </c>
    </row>
    <row r="151" customFormat="false" ht="18.75" hidden="false" customHeight="false" outlineLevel="0" collapsed="false">
      <c r="A151" s="31" t="s">
        <v>207</v>
      </c>
      <c r="B151" s="32" t="s">
        <v>208</v>
      </c>
      <c r="C151" s="32" t="s">
        <v>15</v>
      </c>
      <c r="D151" s="33" t="n">
        <v>135.96</v>
      </c>
      <c r="E151" s="34" t="n">
        <v>3</v>
      </c>
      <c r="F151" s="35" t="n">
        <f aca="false">D151*E151</f>
        <v>407.88</v>
      </c>
      <c r="G151" s="34" t="n">
        <v>3</v>
      </c>
      <c r="H151" s="34" t="n">
        <f aca="false">G151-E151</f>
        <v>0</v>
      </c>
      <c r="I151" s="36" t="n">
        <f aca="false">D151*H151</f>
        <v>0</v>
      </c>
      <c r="J151" s="37" t="n">
        <f aca="false">D151*G151</f>
        <v>407.88</v>
      </c>
    </row>
    <row r="152" customFormat="false" ht="18.75" hidden="false" customHeight="false" outlineLevel="0" collapsed="false">
      <c r="A152" s="44" t="s">
        <v>209</v>
      </c>
      <c r="B152" s="45" t="s">
        <v>210</v>
      </c>
      <c r="C152" s="45" t="s">
        <v>39</v>
      </c>
      <c r="D152" s="46" t="n">
        <v>135.96</v>
      </c>
      <c r="E152" s="47" t="n">
        <v>21</v>
      </c>
      <c r="F152" s="35" t="n">
        <f aca="false">D152*E152</f>
        <v>2855.16</v>
      </c>
      <c r="G152" s="47" t="n">
        <v>21</v>
      </c>
      <c r="H152" s="47" t="n">
        <f aca="false">G152-E152</f>
        <v>0</v>
      </c>
      <c r="I152" s="48" t="n">
        <f aca="false">D152*H152</f>
        <v>0</v>
      </c>
      <c r="J152" s="49" t="n">
        <f aca="false">D152*G152</f>
        <v>2855.16</v>
      </c>
    </row>
    <row r="153" customFormat="false" ht="18.75" hidden="false" customHeight="false" outlineLevel="0" collapsed="false">
      <c r="A153" s="44" t="s">
        <v>211</v>
      </c>
      <c r="B153" s="45" t="s">
        <v>212</v>
      </c>
      <c r="C153" s="45" t="s">
        <v>39</v>
      </c>
      <c r="D153" s="46" t="n">
        <v>135.96</v>
      </c>
      <c r="E153" s="47" t="n">
        <v>18</v>
      </c>
      <c r="F153" s="35" t="n">
        <f aca="false">D153*E153</f>
        <v>2447.28</v>
      </c>
      <c r="G153" s="47" t="n">
        <v>15</v>
      </c>
      <c r="H153" s="47" t="n">
        <f aca="false">G153-E153</f>
        <v>-3</v>
      </c>
      <c r="I153" s="48" t="n">
        <f aca="false">D153*H153</f>
        <v>-407.88</v>
      </c>
      <c r="J153" s="49" t="n">
        <f aca="false">D153*G153</f>
        <v>2039.4</v>
      </c>
    </row>
    <row r="154" customFormat="false" ht="18.75" hidden="false" customHeight="false" outlineLevel="0" collapsed="false">
      <c r="A154" s="44" t="s">
        <v>213</v>
      </c>
      <c r="B154" s="45" t="s">
        <v>214</v>
      </c>
      <c r="C154" s="45" t="s">
        <v>39</v>
      </c>
      <c r="D154" s="46" t="n">
        <v>135.96</v>
      </c>
      <c r="E154" s="47" t="n">
        <v>9</v>
      </c>
      <c r="F154" s="35" t="n">
        <f aca="false">D154*E154</f>
        <v>1223.64</v>
      </c>
      <c r="G154" s="47" t="n">
        <v>10</v>
      </c>
      <c r="H154" s="47" t="n">
        <f aca="false">G154-E154</f>
        <v>1</v>
      </c>
      <c r="I154" s="48" t="n">
        <f aca="false">D154*H154</f>
        <v>135.96</v>
      </c>
      <c r="J154" s="49" t="n">
        <f aca="false">D154*G154</f>
        <v>1359.6</v>
      </c>
    </row>
    <row r="155" customFormat="false" ht="18.75" hidden="false" customHeight="false" outlineLevel="0" collapsed="false">
      <c r="A155" s="44" t="s">
        <v>215</v>
      </c>
      <c r="B155" s="45" t="s">
        <v>216</v>
      </c>
      <c r="C155" s="45" t="s">
        <v>39</v>
      </c>
      <c r="D155" s="46" t="n">
        <v>135.96</v>
      </c>
      <c r="E155" s="47" t="n">
        <v>2</v>
      </c>
      <c r="F155" s="35" t="n">
        <f aca="false">D155*E155</f>
        <v>271.92</v>
      </c>
      <c r="G155" s="47" t="n">
        <v>2</v>
      </c>
      <c r="H155" s="47" t="n">
        <f aca="false">G155-E155</f>
        <v>0</v>
      </c>
      <c r="I155" s="48" t="n">
        <f aca="false">D155*H155</f>
        <v>0</v>
      </c>
      <c r="J155" s="49" t="n">
        <f aca="false">D155*G155</f>
        <v>271.92</v>
      </c>
    </row>
    <row r="156" customFormat="false" ht="18.75" hidden="false" customHeight="false" outlineLevel="0" collapsed="false">
      <c r="A156" s="44" t="s">
        <v>217</v>
      </c>
      <c r="B156" s="45" t="s">
        <v>176</v>
      </c>
      <c r="C156" s="45" t="s">
        <v>39</v>
      </c>
      <c r="D156" s="46" t="n">
        <v>135.96</v>
      </c>
      <c r="E156" s="47" t="n">
        <v>6</v>
      </c>
      <c r="F156" s="35" t="n">
        <f aca="false">D156*E156</f>
        <v>815.76</v>
      </c>
      <c r="G156" s="47" t="n">
        <v>2</v>
      </c>
      <c r="H156" s="47" t="n">
        <f aca="false">G156-E156</f>
        <v>-4</v>
      </c>
      <c r="I156" s="48" t="n">
        <f aca="false">D156*H156</f>
        <v>-543.84</v>
      </c>
      <c r="J156" s="49" t="n">
        <f aca="false">D156*G156</f>
        <v>271.92</v>
      </c>
    </row>
    <row r="157" customFormat="false" ht="18.75" hidden="false" customHeight="false" outlineLevel="0" collapsed="false">
      <c r="A157" s="44" t="s">
        <v>218</v>
      </c>
      <c r="B157" s="45" t="s">
        <v>178</v>
      </c>
      <c r="C157" s="45" t="s">
        <v>39</v>
      </c>
      <c r="D157" s="46" t="n">
        <v>139.96</v>
      </c>
      <c r="E157" s="47" t="n">
        <v>7</v>
      </c>
      <c r="F157" s="35" t="n">
        <f aca="false">D157*E157</f>
        <v>979.72</v>
      </c>
      <c r="G157" s="47" t="n">
        <v>9</v>
      </c>
      <c r="H157" s="47" t="n">
        <f aca="false">G157-E157</f>
        <v>2</v>
      </c>
      <c r="I157" s="48" t="n">
        <f aca="false">D157*H157</f>
        <v>279.92</v>
      </c>
      <c r="J157" s="49" t="n">
        <f aca="false">D157*G157</f>
        <v>1259.64</v>
      </c>
    </row>
    <row r="158" customFormat="false" ht="18.75" hidden="false" customHeight="false" outlineLevel="0" collapsed="false">
      <c r="A158" s="79" t="s">
        <v>219</v>
      </c>
      <c r="B158" s="80" t="s">
        <v>220</v>
      </c>
      <c r="C158" s="80" t="s">
        <v>47</v>
      </c>
      <c r="D158" s="91" t="n">
        <v>135.96</v>
      </c>
      <c r="E158" s="82" t="n">
        <v>3</v>
      </c>
      <c r="F158" s="115" t="n">
        <f aca="false">D158*E158</f>
        <v>407.88</v>
      </c>
      <c r="G158" s="82" t="n">
        <v>3</v>
      </c>
      <c r="H158" s="82" t="n">
        <f aca="false">G158-E158</f>
        <v>0</v>
      </c>
      <c r="I158" s="83" t="n">
        <f aca="false">D158*H158</f>
        <v>0</v>
      </c>
      <c r="J158" s="84" t="n">
        <f aca="false">D158*G158</f>
        <v>407.88</v>
      </c>
    </row>
    <row r="159" customFormat="false" ht="18.75" hidden="false" customHeight="false" outlineLevel="0" collapsed="false">
      <c r="A159" s="79" t="s">
        <v>221</v>
      </c>
      <c r="B159" s="80" t="s">
        <v>222</v>
      </c>
      <c r="C159" s="80" t="s">
        <v>47</v>
      </c>
      <c r="D159" s="91" t="n">
        <v>135.96</v>
      </c>
      <c r="E159" s="82" t="n">
        <v>3</v>
      </c>
      <c r="F159" s="115" t="n">
        <f aca="false">D159*E159</f>
        <v>407.88</v>
      </c>
      <c r="G159" s="82" t="n">
        <v>3</v>
      </c>
      <c r="H159" s="82" t="n">
        <f aca="false">G159-E159</f>
        <v>0</v>
      </c>
      <c r="I159" s="83" t="n">
        <f aca="false">D159*H159</f>
        <v>0</v>
      </c>
      <c r="J159" s="84" t="n">
        <f aca="false">D159*G159</f>
        <v>407.88</v>
      </c>
    </row>
    <row r="160" customFormat="false" ht="18.75" hidden="false" customHeight="false" outlineLevel="0" collapsed="false">
      <c r="A160" s="79" t="s">
        <v>223</v>
      </c>
      <c r="B160" s="80" t="s">
        <v>224</v>
      </c>
      <c r="C160" s="80" t="s">
        <v>47</v>
      </c>
      <c r="D160" s="91" t="n">
        <v>135.96</v>
      </c>
      <c r="E160" s="82" t="n">
        <v>4</v>
      </c>
      <c r="F160" s="115" t="n">
        <f aca="false">D160*E160</f>
        <v>543.84</v>
      </c>
      <c r="G160" s="82" t="n">
        <v>4</v>
      </c>
      <c r="H160" s="82" t="n">
        <f aca="false">G160-E160</f>
        <v>0</v>
      </c>
      <c r="I160" s="83" t="n">
        <f aca="false">D160*H160</f>
        <v>0</v>
      </c>
      <c r="J160" s="84" t="n">
        <f aca="false">D160*G160</f>
        <v>543.84</v>
      </c>
    </row>
    <row r="161" customFormat="false" ht="18.75" hidden="false" customHeight="false" outlineLevel="0" collapsed="false">
      <c r="A161" s="79" t="s">
        <v>225</v>
      </c>
      <c r="B161" s="80" t="s">
        <v>226</v>
      </c>
      <c r="C161" s="80" t="s">
        <v>47</v>
      </c>
      <c r="D161" s="91" t="n">
        <v>135.96</v>
      </c>
      <c r="E161" s="82" t="n">
        <v>0</v>
      </c>
      <c r="F161" s="115" t="n">
        <f aca="false">D161*E161</f>
        <v>0</v>
      </c>
      <c r="G161" s="82" t="n">
        <v>0</v>
      </c>
      <c r="H161" s="82" t="n">
        <f aca="false">G161-E161</f>
        <v>0</v>
      </c>
      <c r="I161" s="83" t="n">
        <f aca="false">D161*H161</f>
        <v>0</v>
      </c>
      <c r="J161" s="84" t="n">
        <f aca="false">D161*G161</f>
        <v>0</v>
      </c>
    </row>
    <row r="162" customFormat="false" ht="19.5" hidden="false" customHeight="true" outlineLevel="0" collapsed="false">
      <c r="A162" s="73"/>
      <c r="B162" s="74"/>
      <c r="C162" s="74"/>
      <c r="D162" s="75"/>
      <c r="E162" s="76"/>
      <c r="F162" s="77"/>
      <c r="G162" s="76"/>
      <c r="H162" s="86" t="s">
        <v>5</v>
      </c>
      <c r="I162" s="87" t="n">
        <f aca="false">SUM(I137:I161)</f>
        <v>551.84</v>
      </c>
      <c r="J162" s="88" t="n">
        <f aca="false">SUM(J137:J161)</f>
        <v>20022.12</v>
      </c>
      <c r="K162" s="89" t="n">
        <f aca="false">I162</f>
        <v>551.84</v>
      </c>
      <c r="L162" s="89" t="n">
        <f aca="false">J162</f>
        <v>20022.12</v>
      </c>
    </row>
    <row r="163" customFormat="false" ht="19.5" hidden="false" customHeight="true" outlineLevel="0" collapsed="false">
      <c r="A163" s="8" t="s">
        <v>0</v>
      </c>
      <c r="B163" s="9" t="s">
        <v>1</v>
      </c>
      <c r="C163" s="9" t="s">
        <v>2</v>
      </c>
      <c r="D163" s="10" t="s">
        <v>3</v>
      </c>
      <c r="E163" s="11" t="s">
        <v>4</v>
      </c>
      <c r="F163" s="112" t="s">
        <v>5</v>
      </c>
      <c r="G163" s="11" t="s">
        <v>6</v>
      </c>
      <c r="H163" s="13" t="s">
        <v>7</v>
      </c>
      <c r="I163" s="14" t="s">
        <v>8</v>
      </c>
      <c r="J163" s="113" t="s">
        <v>9</v>
      </c>
    </row>
    <row r="164" customFormat="false" ht="18.75" hidden="false" customHeight="false" outlineLevel="0" collapsed="false">
      <c r="A164" s="73"/>
      <c r="B164" s="74"/>
      <c r="C164" s="74"/>
      <c r="D164" s="75"/>
      <c r="E164" s="117"/>
      <c r="F164" s="77" t="n">
        <f aca="false">D164*E164</f>
        <v>0</v>
      </c>
      <c r="G164" s="76"/>
      <c r="H164" s="76"/>
      <c r="I164" s="78"/>
      <c r="J164" s="23" t="n">
        <f aca="false">D164*G164</f>
        <v>0</v>
      </c>
    </row>
    <row r="165" customFormat="false" ht="18.75" hidden="false" customHeight="false" outlineLevel="0" collapsed="false">
      <c r="A165" s="24" t="n">
        <v>12042</v>
      </c>
      <c r="B165" s="25" t="s">
        <v>227</v>
      </c>
      <c r="C165" s="25" t="s">
        <v>13</v>
      </c>
      <c r="D165" s="26" t="n">
        <v>135.93</v>
      </c>
      <c r="E165" s="27" t="n">
        <v>0</v>
      </c>
      <c r="F165" s="35" t="n">
        <f aca="false">D165*E165</f>
        <v>0</v>
      </c>
      <c r="G165" s="27" t="n">
        <v>0</v>
      </c>
      <c r="H165" s="27" t="n">
        <f aca="false">G165-E165</f>
        <v>0</v>
      </c>
      <c r="I165" s="29" t="n">
        <f aca="false">D165*H165</f>
        <v>0</v>
      </c>
      <c r="J165" s="30" t="n">
        <f aca="false">D165*G165</f>
        <v>0</v>
      </c>
    </row>
    <row r="166" customFormat="false" ht="18.75" hidden="false" customHeight="false" outlineLevel="0" collapsed="false">
      <c r="A166" s="24" t="n">
        <v>12045</v>
      </c>
      <c r="B166" s="25" t="s">
        <v>228</v>
      </c>
      <c r="C166" s="25" t="s">
        <v>13</v>
      </c>
      <c r="D166" s="26" t="n">
        <v>135.96</v>
      </c>
      <c r="E166" s="27" t="n">
        <v>0</v>
      </c>
      <c r="F166" s="35" t="n">
        <f aca="false">D166*E166</f>
        <v>0</v>
      </c>
      <c r="G166" s="27" t="n">
        <v>0</v>
      </c>
      <c r="H166" s="27" t="n">
        <f aca="false">G166-E166</f>
        <v>0</v>
      </c>
      <c r="I166" s="29" t="n">
        <f aca="false">D166*H166</f>
        <v>0</v>
      </c>
      <c r="J166" s="30" t="n">
        <f aca="false">D166*G166</f>
        <v>0</v>
      </c>
    </row>
    <row r="167" customFormat="false" ht="18.75" hidden="false" customHeight="false" outlineLevel="0" collapsed="false">
      <c r="A167" s="24" t="n">
        <v>12047</v>
      </c>
      <c r="B167" s="25" t="s">
        <v>229</v>
      </c>
      <c r="C167" s="25" t="s">
        <v>13</v>
      </c>
      <c r="D167" s="26" t="n">
        <v>135.96</v>
      </c>
      <c r="E167" s="27" t="n">
        <v>3</v>
      </c>
      <c r="F167" s="35" t="n">
        <f aca="false">D167*E167</f>
        <v>407.88</v>
      </c>
      <c r="G167" s="27" t="n">
        <v>3</v>
      </c>
      <c r="H167" s="27" t="n">
        <f aca="false">G167-E167</f>
        <v>0</v>
      </c>
      <c r="I167" s="29" t="n">
        <f aca="false">D167*H167</f>
        <v>0</v>
      </c>
      <c r="J167" s="30" t="n">
        <f aca="false">D167*G167</f>
        <v>407.88</v>
      </c>
    </row>
    <row r="168" customFormat="false" ht="18.75" hidden="false" customHeight="false" outlineLevel="0" collapsed="false">
      <c r="A168" s="24" t="n">
        <v>12048</v>
      </c>
      <c r="B168" s="25" t="s">
        <v>230</v>
      </c>
      <c r="C168" s="25" t="s">
        <v>13</v>
      </c>
      <c r="D168" s="26" t="n">
        <v>135.96</v>
      </c>
      <c r="E168" s="116" t="n">
        <v>1</v>
      </c>
      <c r="F168" s="35" t="n">
        <f aca="false">D168*E168</f>
        <v>135.96</v>
      </c>
      <c r="G168" s="27" t="n">
        <v>1</v>
      </c>
      <c r="H168" s="27" t="n">
        <f aca="false">G168-E168</f>
        <v>0</v>
      </c>
      <c r="I168" s="29" t="n">
        <f aca="false">D168*H168</f>
        <v>0</v>
      </c>
      <c r="J168" s="30" t="n">
        <f aca="false">D168*G168</f>
        <v>135.96</v>
      </c>
    </row>
    <row r="169" customFormat="false" ht="18.75" hidden="false" customHeight="false" outlineLevel="0" collapsed="false">
      <c r="A169" s="24" t="n">
        <v>12049</v>
      </c>
      <c r="B169" s="25" t="s">
        <v>231</v>
      </c>
      <c r="C169" s="25" t="s">
        <v>13</v>
      </c>
      <c r="D169" s="26" t="n">
        <v>135.96</v>
      </c>
      <c r="E169" s="27" t="n">
        <v>7</v>
      </c>
      <c r="F169" s="35" t="n">
        <f aca="false">D169*E169</f>
        <v>951.72</v>
      </c>
      <c r="G169" s="27" t="n">
        <v>7</v>
      </c>
      <c r="H169" s="27" t="n">
        <f aca="false">G169-E169</f>
        <v>0</v>
      </c>
      <c r="I169" s="29" t="n">
        <f aca="false">D169*H169</f>
        <v>0</v>
      </c>
      <c r="J169" s="30" t="n">
        <f aca="false">D169*G169</f>
        <v>951.72</v>
      </c>
    </row>
    <row r="170" customFormat="false" ht="18.75" hidden="false" customHeight="false" outlineLevel="0" collapsed="false">
      <c r="A170" s="73"/>
      <c r="B170" s="74"/>
      <c r="C170" s="74"/>
      <c r="D170" s="75"/>
      <c r="E170" s="76"/>
      <c r="F170" s="77"/>
      <c r="G170" s="76"/>
      <c r="H170" s="76"/>
      <c r="I170" s="78"/>
      <c r="J170" s="23" t="n">
        <f aca="false">D170*G170</f>
        <v>0</v>
      </c>
    </row>
    <row r="171" customFormat="false" ht="18.75" hidden="false" customHeight="false" outlineLevel="0" collapsed="false">
      <c r="A171" s="79" t="s">
        <v>232</v>
      </c>
      <c r="B171" s="80" t="s">
        <v>233</v>
      </c>
      <c r="C171" s="80" t="s">
        <v>234</v>
      </c>
      <c r="D171" s="91" t="n">
        <v>45.31</v>
      </c>
      <c r="E171" s="82" t="n">
        <v>30</v>
      </c>
      <c r="F171" s="35" t="n">
        <f aca="false">D171*E171</f>
        <v>1359.3</v>
      </c>
      <c r="G171" s="82" t="n">
        <v>33</v>
      </c>
      <c r="H171" s="82" t="n">
        <f aca="false">G171-E171</f>
        <v>3</v>
      </c>
      <c r="I171" s="83" t="n">
        <f aca="false">D171*H171</f>
        <v>135.93</v>
      </c>
      <c r="J171" s="84" t="n">
        <f aca="false">D171*G171</f>
        <v>1495.23</v>
      </c>
    </row>
    <row r="172" customFormat="false" ht="18.75" hidden="false" customHeight="false" outlineLevel="0" collapsed="false">
      <c r="A172" s="57" t="n">
        <v>8805</v>
      </c>
      <c r="B172" s="58" t="s">
        <v>235</v>
      </c>
      <c r="C172" s="58" t="s">
        <v>27</v>
      </c>
      <c r="D172" s="59" t="n">
        <v>45.32</v>
      </c>
      <c r="E172" s="60" t="n">
        <v>40</v>
      </c>
      <c r="F172" s="35" t="n">
        <f aca="false">D172*E172</f>
        <v>1812.8</v>
      </c>
      <c r="G172" s="60" t="n">
        <v>40</v>
      </c>
      <c r="H172" s="61" t="n">
        <f aca="false">G172-E172</f>
        <v>0</v>
      </c>
      <c r="I172" s="62" t="n">
        <f aca="false">D172*H172</f>
        <v>0</v>
      </c>
      <c r="J172" s="63" t="n">
        <f aca="false">D172*G172</f>
        <v>1812.8</v>
      </c>
    </row>
    <row r="173" customFormat="false" ht="18.75" hidden="false" customHeight="false" outlineLevel="0" collapsed="false">
      <c r="A173" s="57" t="n">
        <v>8815</v>
      </c>
      <c r="B173" s="58" t="s">
        <v>236</v>
      </c>
      <c r="C173" s="58" t="s">
        <v>237</v>
      </c>
      <c r="D173" s="59" t="n">
        <v>45.31</v>
      </c>
      <c r="E173" s="60" t="n">
        <v>36</v>
      </c>
      <c r="F173" s="35" t="n">
        <f aca="false">D173*E173</f>
        <v>1631.16</v>
      </c>
      <c r="G173" s="60" t="n">
        <v>42</v>
      </c>
      <c r="H173" s="61" t="n">
        <f aca="false">G173-E173</f>
        <v>6</v>
      </c>
      <c r="I173" s="62" t="n">
        <f aca="false">D173*H173</f>
        <v>271.86</v>
      </c>
      <c r="J173" s="63" t="n">
        <f aca="false">D173*G173</f>
        <v>1903.02</v>
      </c>
    </row>
    <row r="174" customFormat="false" ht="18.75" hidden="false" customHeight="false" outlineLevel="0" collapsed="false">
      <c r="A174" s="31" t="n">
        <v>839006</v>
      </c>
      <c r="B174" s="32" t="s">
        <v>238</v>
      </c>
      <c r="C174" s="32" t="s">
        <v>15</v>
      </c>
      <c r="D174" s="33" t="n">
        <v>45.31</v>
      </c>
      <c r="E174" s="34" t="n">
        <v>47</v>
      </c>
      <c r="F174" s="35" t="n">
        <f aca="false">D174*E174</f>
        <v>2129.57</v>
      </c>
      <c r="G174" s="34" t="n">
        <v>47</v>
      </c>
      <c r="H174" s="34" t="n">
        <f aca="false">G174-E174</f>
        <v>0</v>
      </c>
      <c r="I174" s="36" t="n">
        <f aca="false">D174*H174</f>
        <v>0</v>
      </c>
      <c r="J174" s="37" t="n">
        <f aca="false">D174*G174</f>
        <v>2129.57</v>
      </c>
    </row>
    <row r="175" customFormat="false" ht="18.75" hidden="false" customHeight="false" outlineLevel="0" collapsed="false">
      <c r="A175" s="31" t="n">
        <v>839007</v>
      </c>
      <c r="B175" s="32" t="s">
        <v>239</v>
      </c>
      <c r="C175" s="32" t="s">
        <v>15</v>
      </c>
      <c r="D175" s="33" t="n">
        <v>45.31</v>
      </c>
      <c r="E175" s="118" t="n">
        <v>19</v>
      </c>
      <c r="F175" s="35" t="n">
        <f aca="false">D175*E175</f>
        <v>860.89</v>
      </c>
      <c r="G175" s="34" t="n">
        <v>19</v>
      </c>
      <c r="H175" s="34" t="n">
        <f aca="false">G175-E175</f>
        <v>0</v>
      </c>
      <c r="I175" s="36" t="n">
        <f aca="false">D175*H175</f>
        <v>0</v>
      </c>
      <c r="J175" s="37" t="n">
        <f aca="false">D175*G175</f>
        <v>860.89</v>
      </c>
    </row>
    <row r="176" customFormat="false" ht="18.75" hidden="false" customHeight="false" outlineLevel="0" collapsed="false">
      <c r="A176" s="31" t="n">
        <v>839002</v>
      </c>
      <c r="B176" s="32" t="s">
        <v>240</v>
      </c>
      <c r="C176" s="32" t="s">
        <v>15</v>
      </c>
      <c r="D176" s="33" t="n">
        <v>135.96</v>
      </c>
      <c r="E176" s="34" t="n">
        <v>32</v>
      </c>
      <c r="F176" s="35" t="n">
        <f aca="false">D176*E176</f>
        <v>4350.72</v>
      </c>
      <c r="G176" s="34" t="n">
        <v>30</v>
      </c>
      <c r="H176" s="34" t="n">
        <f aca="false">G176-E176</f>
        <v>-2</v>
      </c>
      <c r="I176" s="36" t="n">
        <f aca="false">D176*H176</f>
        <v>-271.92</v>
      </c>
      <c r="J176" s="37" t="n">
        <f aca="false">D176*G176</f>
        <v>4078.8</v>
      </c>
    </row>
    <row r="177" customFormat="false" ht="18.75" hidden="false" customHeight="false" outlineLevel="0" collapsed="false">
      <c r="A177" s="31" t="n">
        <v>839008</v>
      </c>
      <c r="B177" s="32" t="s">
        <v>241</v>
      </c>
      <c r="C177" s="32" t="s">
        <v>15</v>
      </c>
      <c r="D177" s="33" t="n">
        <v>45.31</v>
      </c>
      <c r="E177" s="34" t="n">
        <v>15</v>
      </c>
      <c r="F177" s="35" t="n">
        <f aca="false">D177*E177</f>
        <v>679.65</v>
      </c>
      <c r="G177" s="34" t="n">
        <v>15</v>
      </c>
      <c r="H177" s="34" t="n">
        <f aca="false">G177-E177</f>
        <v>0</v>
      </c>
      <c r="I177" s="36" t="n">
        <f aca="false">D177*H177</f>
        <v>0</v>
      </c>
      <c r="J177" s="37" t="n">
        <f aca="false">D177*G177</f>
        <v>679.65</v>
      </c>
    </row>
    <row r="178" customFormat="false" ht="18.75" hidden="false" customHeight="false" outlineLevel="0" collapsed="false">
      <c r="A178" s="31" t="n">
        <v>839017</v>
      </c>
      <c r="B178" s="32" t="s">
        <v>241</v>
      </c>
      <c r="C178" s="32" t="s">
        <v>15</v>
      </c>
      <c r="D178" s="33" t="n">
        <v>45.31</v>
      </c>
      <c r="E178" s="34" t="n">
        <v>3</v>
      </c>
      <c r="F178" s="35" t="n">
        <f aca="false">D178*E178</f>
        <v>135.93</v>
      </c>
      <c r="G178" s="34" t="n">
        <v>3</v>
      </c>
      <c r="H178" s="34" t="n">
        <f aca="false">G178-E178</f>
        <v>0</v>
      </c>
      <c r="I178" s="36" t="n">
        <f aca="false">D178*H178</f>
        <v>0</v>
      </c>
      <c r="J178" s="37" t="n">
        <f aca="false">D178*G178</f>
        <v>135.93</v>
      </c>
    </row>
    <row r="179" customFormat="false" ht="18.75" hidden="false" customHeight="false" outlineLevel="0" collapsed="false">
      <c r="A179" s="31" t="n">
        <v>839027</v>
      </c>
      <c r="B179" s="32" t="s">
        <v>242</v>
      </c>
      <c r="C179" s="32" t="s">
        <v>15</v>
      </c>
      <c r="D179" s="33" t="n">
        <v>45.31</v>
      </c>
      <c r="E179" s="118" t="n">
        <v>6</v>
      </c>
      <c r="F179" s="35" t="n">
        <f aca="false">D179*E179</f>
        <v>271.86</v>
      </c>
      <c r="G179" s="34" t="n">
        <v>6</v>
      </c>
      <c r="H179" s="34" t="n">
        <f aca="false">G179-E179</f>
        <v>0</v>
      </c>
      <c r="I179" s="36" t="n">
        <f aca="false">D179*H179</f>
        <v>0</v>
      </c>
      <c r="J179" s="37" t="n">
        <f aca="false">D179*G179</f>
        <v>271.86</v>
      </c>
    </row>
    <row r="180" customFormat="false" ht="18.75" hidden="false" customHeight="false" outlineLevel="0" collapsed="false">
      <c r="A180" s="31" t="n">
        <v>839028</v>
      </c>
      <c r="B180" s="32" t="s">
        <v>243</v>
      </c>
      <c r="C180" s="32" t="s">
        <v>15</v>
      </c>
      <c r="D180" s="33" t="n">
        <v>45.31</v>
      </c>
      <c r="E180" s="34" t="n">
        <v>17</v>
      </c>
      <c r="F180" s="35" t="n">
        <f aca="false">D180*E180</f>
        <v>770.27</v>
      </c>
      <c r="G180" s="34" t="n">
        <v>17</v>
      </c>
      <c r="H180" s="34" t="n">
        <f aca="false">G180-E180</f>
        <v>0</v>
      </c>
      <c r="I180" s="36" t="n">
        <f aca="false">D180*H180</f>
        <v>0</v>
      </c>
      <c r="J180" s="37" t="n">
        <f aca="false">D180*G180</f>
        <v>770.27</v>
      </c>
    </row>
    <row r="181" customFormat="false" ht="18.75" hidden="false" customHeight="false" outlineLevel="0" collapsed="false">
      <c r="A181" s="73"/>
      <c r="B181" s="74"/>
      <c r="C181" s="74"/>
      <c r="D181" s="75"/>
      <c r="E181" s="76"/>
      <c r="F181" s="77"/>
      <c r="G181" s="76"/>
      <c r="H181" s="76"/>
      <c r="I181" s="78"/>
      <c r="J181" s="119"/>
    </row>
    <row r="182" customFormat="false" ht="18.75" hidden="false" customHeight="false" outlineLevel="0" collapsed="false">
      <c r="A182" s="65" t="n">
        <v>2022483</v>
      </c>
      <c r="B182" s="66" t="s">
        <v>244</v>
      </c>
      <c r="C182" s="66" t="s">
        <v>30</v>
      </c>
      <c r="D182" s="67" t="n">
        <v>45.32</v>
      </c>
      <c r="E182" s="68" t="n">
        <v>30</v>
      </c>
      <c r="F182" s="69"/>
      <c r="G182" s="68" t="n">
        <v>27</v>
      </c>
      <c r="H182" s="68" t="n">
        <f aca="false">G182-E182</f>
        <v>-3</v>
      </c>
      <c r="I182" s="70" t="n">
        <f aca="false">D182*H182</f>
        <v>-135.96</v>
      </c>
      <c r="J182" s="120" t="n">
        <f aca="false">D182*G182</f>
        <v>1223.64</v>
      </c>
    </row>
    <row r="183" customFormat="false" ht="18.75" hidden="false" customHeight="false" outlineLevel="0" collapsed="false">
      <c r="A183" s="65" t="n">
        <v>2022484</v>
      </c>
      <c r="B183" s="66" t="s">
        <v>245</v>
      </c>
      <c r="C183" s="66" t="s">
        <v>30</v>
      </c>
      <c r="D183" s="67" t="n">
        <v>45.32</v>
      </c>
      <c r="E183" s="68" t="n">
        <v>6</v>
      </c>
      <c r="F183" s="69"/>
      <c r="G183" s="68" t="n">
        <v>8</v>
      </c>
      <c r="H183" s="68" t="n">
        <f aca="false">G183-E183</f>
        <v>2</v>
      </c>
      <c r="I183" s="70" t="n">
        <f aca="false">D183*H183</f>
        <v>90.64</v>
      </c>
      <c r="J183" s="120" t="n">
        <f aca="false">D183*G183</f>
        <v>362.56</v>
      </c>
    </row>
    <row r="184" customFormat="false" ht="18.75" hidden="false" customHeight="false" outlineLevel="0" collapsed="false">
      <c r="A184" s="65" t="n">
        <v>2022983</v>
      </c>
      <c r="B184" s="66" t="s">
        <v>246</v>
      </c>
      <c r="C184" s="66" t="s">
        <v>30</v>
      </c>
      <c r="D184" s="67" t="n">
        <v>45.32</v>
      </c>
      <c r="E184" s="68" t="n">
        <v>6</v>
      </c>
      <c r="F184" s="69"/>
      <c r="G184" s="68" t="n">
        <v>6</v>
      </c>
      <c r="H184" s="68" t="n">
        <f aca="false">G184-E184</f>
        <v>0</v>
      </c>
      <c r="I184" s="70" t="n">
        <f aca="false">D184*H184</f>
        <v>0</v>
      </c>
      <c r="J184" s="120" t="n">
        <f aca="false">D184*G184</f>
        <v>271.92</v>
      </c>
    </row>
    <row r="185" customFormat="false" ht="18.75" hidden="false" customHeight="false" outlineLevel="0" collapsed="false">
      <c r="A185" s="44" t="s">
        <v>247</v>
      </c>
      <c r="B185" s="45" t="s">
        <v>248</v>
      </c>
      <c r="C185" s="45" t="s">
        <v>39</v>
      </c>
      <c r="D185" s="46" t="n">
        <v>135.96</v>
      </c>
      <c r="E185" s="47" t="n">
        <v>0</v>
      </c>
      <c r="F185" s="35" t="n">
        <f aca="false">D185*E185</f>
        <v>0</v>
      </c>
      <c r="G185" s="47" t="n">
        <v>0</v>
      </c>
      <c r="H185" s="47" t="n">
        <f aca="false">G185-E185</f>
        <v>0</v>
      </c>
      <c r="I185" s="48" t="n">
        <f aca="false">D185*H185</f>
        <v>0</v>
      </c>
      <c r="J185" s="121" t="n">
        <f aca="false">D185*G185</f>
        <v>0</v>
      </c>
    </row>
    <row r="186" customFormat="false" ht="18.75" hidden="false" customHeight="false" outlineLevel="0" collapsed="false">
      <c r="A186" s="44" t="s">
        <v>249</v>
      </c>
      <c r="B186" s="45" t="s">
        <v>250</v>
      </c>
      <c r="C186" s="45" t="s">
        <v>39</v>
      </c>
      <c r="D186" s="46" t="n">
        <v>135.96</v>
      </c>
      <c r="E186" s="47" t="n">
        <v>0</v>
      </c>
      <c r="F186" s="35" t="n">
        <f aca="false">D186*E186</f>
        <v>0</v>
      </c>
      <c r="G186" s="47" t="n">
        <v>0</v>
      </c>
      <c r="H186" s="47" t="n">
        <f aca="false">G186-E186</f>
        <v>0</v>
      </c>
      <c r="I186" s="48" t="n">
        <f aca="false">D186*H186</f>
        <v>0</v>
      </c>
      <c r="J186" s="121" t="n">
        <f aca="false">D186*G186</f>
        <v>0</v>
      </c>
    </row>
    <row r="187" customFormat="false" ht="18.75" hidden="false" customHeight="false" outlineLevel="0" collapsed="false">
      <c r="A187" s="44" t="s">
        <v>251</v>
      </c>
      <c r="B187" s="45" t="s">
        <v>252</v>
      </c>
      <c r="C187" s="45" t="s">
        <v>39</v>
      </c>
      <c r="D187" s="46" t="n">
        <v>135.96</v>
      </c>
      <c r="E187" s="47" t="n">
        <v>0</v>
      </c>
      <c r="F187" s="35" t="n">
        <f aca="false">D187*E187</f>
        <v>0</v>
      </c>
      <c r="G187" s="47" t="n">
        <v>0</v>
      </c>
      <c r="H187" s="47" t="n">
        <f aca="false">G187-E187</f>
        <v>0</v>
      </c>
      <c r="I187" s="48" t="n">
        <f aca="false">D187*H187</f>
        <v>0</v>
      </c>
      <c r="J187" s="121" t="n">
        <f aca="false">D187*G187</f>
        <v>0</v>
      </c>
    </row>
    <row r="188" customFormat="false" ht="18.75" hidden="false" customHeight="false" outlineLevel="0" collapsed="false">
      <c r="A188" s="73"/>
      <c r="B188" s="74"/>
      <c r="C188" s="74"/>
      <c r="D188" s="75"/>
      <c r="E188" s="76"/>
      <c r="F188" s="77"/>
      <c r="G188" s="76"/>
      <c r="H188" s="76"/>
      <c r="I188" s="78"/>
      <c r="J188" s="119" t="n">
        <f aca="false">D188*G188</f>
        <v>0</v>
      </c>
    </row>
    <row r="189" customFormat="false" ht="18.75" hidden="false" customHeight="false" outlineLevel="0" collapsed="false">
      <c r="A189" s="73"/>
      <c r="B189" s="74"/>
      <c r="C189" s="74"/>
      <c r="D189" s="75"/>
      <c r="E189" s="76"/>
      <c r="F189" s="77"/>
      <c r="G189" s="76"/>
      <c r="H189" s="76"/>
      <c r="I189" s="78"/>
      <c r="J189" s="119" t="n">
        <f aca="false">D189*G189</f>
        <v>0</v>
      </c>
    </row>
    <row r="190" customFormat="false" ht="19.5" hidden="false" customHeight="true" outlineLevel="0" collapsed="false">
      <c r="A190" s="73"/>
      <c r="B190" s="74"/>
      <c r="C190" s="74"/>
      <c r="D190" s="75"/>
      <c r="E190" s="76"/>
      <c r="F190" s="77"/>
      <c r="G190" s="76"/>
      <c r="H190" s="86" t="s">
        <v>5</v>
      </c>
      <c r="I190" s="87" t="n">
        <f aca="false">SUM(I165:I189)</f>
        <v>90.55</v>
      </c>
      <c r="J190" s="119" t="n">
        <f aca="false">SUM(J164:J189)</f>
        <v>17491.7</v>
      </c>
      <c r="K190" s="89" t="n">
        <f aca="false">I190</f>
        <v>90.55</v>
      </c>
      <c r="L190" s="89" t="n">
        <f aca="false">J190</f>
        <v>17491.7</v>
      </c>
    </row>
    <row r="191" customFormat="false" ht="19.5" hidden="false" customHeight="true" outlineLevel="0" collapsed="false">
      <c r="A191" s="8" t="s">
        <v>0</v>
      </c>
      <c r="B191" s="9" t="s">
        <v>1</v>
      </c>
      <c r="C191" s="9" t="s">
        <v>2</v>
      </c>
      <c r="D191" s="10" t="s">
        <v>3</v>
      </c>
      <c r="E191" s="11" t="s">
        <v>4</v>
      </c>
      <c r="F191" s="112" t="s">
        <v>5</v>
      </c>
      <c r="G191" s="11" t="s">
        <v>6</v>
      </c>
      <c r="H191" s="13" t="s">
        <v>7</v>
      </c>
      <c r="I191" s="14" t="s">
        <v>8</v>
      </c>
      <c r="J191" s="15" t="s">
        <v>9</v>
      </c>
    </row>
    <row r="192" customFormat="false" ht="18.75" hidden="false" customHeight="false" outlineLevel="0" collapsed="false">
      <c r="A192" s="57" t="s">
        <v>253</v>
      </c>
      <c r="B192" s="58" t="s">
        <v>254</v>
      </c>
      <c r="C192" s="58" t="s">
        <v>27</v>
      </c>
      <c r="D192" s="59" t="n">
        <v>65.7</v>
      </c>
      <c r="E192" s="60" t="n">
        <v>1</v>
      </c>
      <c r="F192" s="35" t="n">
        <f aca="false">D192*E192</f>
        <v>65.7</v>
      </c>
      <c r="G192" s="60" t="n">
        <v>1</v>
      </c>
      <c r="H192" s="61" t="n">
        <f aca="false">G192-E192</f>
        <v>0</v>
      </c>
      <c r="I192" s="62" t="n">
        <f aca="false">D192*H192</f>
        <v>0</v>
      </c>
      <c r="J192" s="122" t="n">
        <f aca="false">D192*G192</f>
        <v>65.7</v>
      </c>
    </row>
    <row r="193" customFormat="false" ht="18.75" hidden="false" customHeight="false" outlineLevel="0" collapsed="false">
      <c r="A193" s="31" t="n">
        <v>13853402</v>
      </c>
      <c r="B193" s="32" t="s">
        <v>255</v>
      </c>
      <c r="C193" s="32" t="s">
        <v>15</v>
      </c>
      <c r="D193" s="33" t="n">
        <v>2.19</v>
      </c>
      <c r="E193" s="34" t="n">
        <v>15</v>
      </c>
      <c r="F193" s="35" t="n">
        <f aca="false">D193*E193</f>
        <v>32.85</v>
      </c>
      <c r="G193" s="34" t="n">
        <v>15</v>
      </c>
      <c r="H193" s="34" t="n">
        <f aca="false">G193-E193</f>
        <v>0</v>
      </c>
      <c r="I193" s="36" t="n">
        <f aca="false">D193*H193</f>
        <v>0</v>
      </c>
      <c r="J193" s="123" t="n">
        <f aca="false">D193*G193</f>
        <v>32.85</v>
      </c>
    </row>
    <row r="194" customFormat="false" ht="18.75" hidden="false" customHeight="false" outlineLevel="0" collapsed="false">
      <c r="A194" s="57" t="n">
        <v>5550</v>
      </c>
      <c r="B194" s="58" t="s">
        <v>256</v>
      </c>
      <c r="C194" s="58" t="s">
        <v>237</v>
      </c>
      <c r="D194" s="59" t="n">
        <v>2.19</v>
      </c>
      <c r="E194" s="60" t="n">
        <v>445</v>
      </c>
      <c r="F194" s="35" t="n">
        <f aca="false">D194*E194</f>
        <v>974.55</v>
      </c>
      <c r="G194" s="60" t="n">
        <v>450</v>
      </c>
      <c r="H194" s="61" t="n">
        <f aca="false">G194-E194</f>
        <v>5</v>
      </c>
      <c r="I194" s="62" t="n">
        <f aca="false">D194*H194</f>
        <v>10.95</v>
      </c>
      <c r="J194" s="122" t="n">
        <f aca="false">D194*G194</f>
        <v>985.5</v>
      </c>
    </row>
    <row r="195" customFormat="false" ht="18.75" hidden="false" customHeight="false" outlineLevel="0" collapsed="false">
      <c r="A195" s="65" t="s">
        <v>257</v>
      </c>
      <c r="B195" s="66" t="s">
        <v>258</v>
      </c>
      <c r="C195" s="66" t="s">
        <v>30</v>
      </c>
      <c r="D195" s="67" t="n">
        <v>21.9</v>
      </c>
      <c r="E195" s="68" t="n">
        <v>13</v>
      </c>
      <c r="F195" s="69" t="n">
        <f aca="false">D195*E195</f>
        <v>284.7</v>
      </c>
      <c r="G195" s="68" t="n">
        <v>14</v>
      </c>
      <c r="H195" s="68" t="n">
        <f aca="false">G195-E195</f>
        <v>1</v>
      </c>
      <c r="I195" s="70" t="n">
        <f aca="false">D195*H195</f>
        <v>21.9</v>
      </c>
      <c r="J195" s="120" t="n">
        <f aca="false">D195*G195</f>
        <v>306.6</v>
      </c>
    </row>
    <row r="196" customFormat="false" ht="18.75" hidden="false" customHeight="false" outlineLevel="0" collapsed="false">
      <c r="A196" s="44" t="s">
        <v>259</v>
      </c>
      <c r="B196" s="45" t="s">
        <v>260</v>
      </c>
      <c r="C196" s="45" t="s">
        <v>39</v>
      </c>
      <c r="D196" s="46" t="n">
        <v>2.19</v>
      </c>
      <c r="E196" s="47" t="n">
        <v>20</v>
      </c>
      <c r="F196" s="35" t="n">
        <f aca="false">D196*E196</f>
        <v>43.8</v>
      </c>
      <c r="G196" s="47" t="n">
        <v>20</v>
      </c>
      <c r="H196" s="47" t="n">
        <f aca="false">G196-E196</f>
        <v>0</v>
      </c>
      <c r="I196" s="48" t="n">
        <f aca="false">D196*H196</f>
        <v>0</v>
      </c>
      <c r="J196" s="121" t="n">
        <f aca="false">D196*G196</f>
        <v>43.8</v>
      </c>
    </row>
    <row r="197" customFormat="false" ht="18.75" hidden="false" customHeight="false" outlineLevel="0" collapsed="false">
      <c r="A197" s="57" t="n">
        <v>5551</v>
      </c>
      <c r="B197" s="58" t="s">
        <v>261</v>
      </c>
      <c r="C197" s="58" t="s">
        <v>237</v>
      </c>
      <c r="D197" s="59" t="n">
        <v>144.04</v>
      </c>
      <c r="E197" s="60" t="n">
        <v>2</v>
      </c>
      <c r="F197" s="35" t="n">
        <f aca="false">D197*E197</f>
        <v>288.08</v>
      </c>
      <c r="G197" s="60" t="n">
        <v>1</v>
      </c>
      <c r="H197" s="61" t="n">
        <f aca="false">G197-E197</f>
        <v>-1</v>
      </c>
      <c r="I197" s="62" t="n">
        <f aca="false">D197*H197</f>
        <v>-144.04</v>
      </c>
      <c r="J197" s="122" t="n">
        <f aca="false">D197*G197</f>
        <v>144.04</v>
      </c>
    </row>
    <row r="198" customFormat="false" ht="18.75" hidden="false" customHeight="false" outlineLevel="0" collapsed="false">
      <c r="A198" s="65" t="s">
        <v>262</v>
      </c>
      <c r="B198" s="66" t="s">
        <v>263</v>
      </c>
      <c r="C198" s="66" t="s">
        <v>30</v>
      </c>
      <c r="D198" s="67" t="n">
        <v>72.02</v>
      </c>
      <c r="E198" s="68" t="n">
        <v>10</v>
      </c>
      <c r="F198" s="69" t="n">
        <f aca="false">D198*E198</f>
        <v>720.2</v>
      </c>
      <c r="G198" s="68" t="n">
        <v>10</v>
      </c>
      <c r="H198" s="68" t="n">
        <f aca="false">G198-E198</f>
        <v>0</v>
      </c>
      <c r="I198" s="70" t="n">
        <f aca="false">D198*H198</f>
        <v>0</v>
      </c>
      <c r="J198" s="120" t="n">
        <f aca="false">D198*G198</f>
        <v>720.2</v>
      </c>
    </row>
    <row r="199" customFormat="false" ht="18.75" hidden="false" customHeight="false" outlineLevel="0" collapsed="false">
      <c r="A199" s="24" t="n">
        <v>340811</v>
      </c>
      <c r="B199" s="25" t="s">
        <v>264</v>
      </c>
      <c r="C199" s="25" t="s">
        <v>265</v>
      </c>
      <c r="D199" s="26" t="n">
        <v>2.19</v>
      </c>
      <c r="E199" s="27" t="n">
        <v>141</v>
      </c>
      <c r="F199" s="28"/>
      <c r="G199" s="27" t="n">
        <v>145</v>
      </c>
      <c r="H199" s="27" t="n">
        <f aca="false">G199-E199</f>
        <v>4</v>
      </c>
      <c r="I199" s="29" t="n">
        <f aca="false">D199*H199</f>
        <v>8.76</v>
      </c>
      <c r="J199" s="30" t="n">
        <f aca="false">D199*G199</f>
        <v>317.55</v>
      </c>
    </row>
    <row r="200" customFormat="false" ht="18.75" hidden="false" customHeight="false" outlineLevel="0" collapsed="false">
      <c r="A200" s="97" t="s">
        <v>266</v>
      </c>
      <c r="B200" s="98" t="s">
        <v>267</v>
      </c>
      <c r="C200" s="98" t="s">
        <v>268</v>
      </c>
      <c r="D200" s="124" t="n">
        <v>13.43</v>
      </c>
      <c r="E200" s="92" t="n">
        <v>6</v>
      </c>
      <c r="F200" s="35"/>
      <c r="G200" s="92" t="n">
        <v>6</v>
      </c>
      <c r="H200" s="76" t="n">
        <f aca="false">G200-E200</f>
        <v>0</v>
      </c>
      <c r="I200" s="78" t="n">
        <f aca="false">D200*H200</f>
        <v>0</v>
      </c>
      <c r="J200" s="119" t="n">
        <f aca="false">D200*G200</f>
        <v>80.58</v>
      </c>
    </row>
    <row r="201" customFormat="false" ht="18.75" hidden="false" customHeight="false" outlineLevel="0" collapsed="false">
      <c r="A201" s="24" t="n">
        <v>14010</v>
      </c>
      <c r="B201" s="25" t="s">
        <v>269</v>
      </c>
      <c r="C201" s="25" t="s">
        <v>265</v>
      </c>
      <c r="D201" s="26" t="n">
        <v>144.04</v>
      </c>
      <c r="E201" s="27" t="n">
        <v>0</v>
      </c>
      <c r="F201" s="28"/>
      <c r="G201" s="27" t="n">
        <v>0</v>
      </c>
      <c r="H201" s="27" t="n">
        <f aca="false">G201-E201</f>
        <v>0</v>
      </c>
      <c r="I201" s="29" t="n">
        <f aca="false">D201*H201</f>
        <v>0</v>
      </c>
      <c r="J201" s="30" t="n">
        <f aca="false">D201*G201</f>
        <v>0</v>
      </c>
    </row>
    <row r="202" customFormat="false" ht="18.75" hidden="false" customHeight="false" outlineLevel="0" collapsed="false">
      <c r="A202" s="79" t="s">
        <v>270</v>
      </c>
      <c r="B202" s="80" t="s">
        <v>271</v>
      </c>
      <c r="C202" s="80" t="s">
        <v>237</v>
      </c>
      <c r="D202" s="91" t="n">
        <v>144.04</v>
      </c>
      <c r="E202" s="82" t="n">
        <v>0</v>
      </c>
      <c r="F202" s="115" t="n">
        <f aca="false">D202*E202</f>
        <v>0</v>
      </c>
      <c r="G202" s="82" t="n">
        <v>0</v>
      </c>
      <c r="H202" s="82" t="n">
        <f aca="false">G202-E202</f>
        <v>0</v>
      </c>
      <c r="I202" s="83" t="n">
        <f aca="false">D202*H202</f>
        <v>0</v>
      </c>
      <c r="J202" s="125" t="n">
        <f aca="false">D202*G202</f>
        <v>0</v>
      </c>
    </row>
    <row r="203" customFormat="false" ht="17.25" hidden="false" customHeight="true" outlineLevel="0" collapsed="false">
      <c r="A203" s="32" t="s">
        <v>272</v>
      </c>
      <c r="B203" s="32" t="s">
        <v>273</v>
      </c>
      <c r="C203" s="32" t="s">
        <v>15</v>
      </c>
      <c r="D203" s="33" t="n">
        <v>45.15</v>
      </c>
      <c r="E203" s="34" t="n">
        <v>0</v>
      </c>
      <c r="F203" s="35" t="n">
        <f aca="false">D203*E203</f>
        <v>0</v>
      </c>
      <c r="G203" s="34" t="n">
        <v>0</v>
      </c>
      <c r="H203" s="34" t="n">
        <f aca="false">G203-E203</f>
        <v>0</v>
      </c>
      <c r="I203" s="36" t="n">
        <f aca="false">D203*H203</f>
        <v>0</v>
      </c>
      <c r="J203" s="123" t="n">
        <f aca="false">D203*G203</f>
        <v>0</v>
      </c>
    </row>
    <row r="204" customFormat="false" ht="17.25" hidden="false" customHeight="true" outlineLevel="0" collapsed="false">
      <c r="A204" s="32" t="s">
        <v>274</v>
      </c>
      <c r="B204" s="32" t="s">
        <v>273</v>
      </c>
      <c r="C204" s="32" t="s">
        <v>15</v>
      </c>
      <c r="D204" s="33" t="n">
        <v>45.15</v>
      </c>
      <c r="E204" s="34" t="n">
        <v>0</v>
      </c>
      <c r="F204" s="35" t="n">
        <f aca="false">D204*E204</f>
        <v>0</v>
      </c>
      <c r="G204" s="34" t="n">
        <v>0</v>
      </c>
      <c r="H204" s="34" t="n">
        <f aca="false">G204-E204</f>
        <v>0</v>
      </c>
      <c r="I204" s="36" t="n">
        <f aca="false">D204*H204</f>
        <v>0</v>
      </c>
      <c r="J204" s="123" t="n">
        <f aca="false">D204*G204</f>
        <v>0</v>
      </c>
    </row>
    <row r="205" customFormat="false" ht="17.25" hidden="false" customHeight="true" outlineLevel="0" collapsed="false">
      <c r="A205" s="32" t="s">
        <v>275</v>
      </c>
      <c r="B205" s="32" t="s">
        <v>273</v>
      </c>
      <c r="C205" s="32" t="s">
        <v>15</v>
      </c>
      <c r="D205" s="33" t="n">
        <v>45.15</v>
      </c>
      <c r="E205" s="34" t="n">
        <v>0</v>
      </c>
      <c r="F205" s="35" t="n">
        <f aca="false">D205*E205</f>
        <v>0</v>
      </c>
      <c r="G205" s="34" t="n">
        <v>0</v>
      </c>
      <c r="H205" s="34" t="n">
        <f aca="false">G205-E205</f>
        <v>0</v>
      </c>
      <c r="I205" s="36" t="n">
        <f aca="false">D205*H205</f>
        <v>0</v>
      </c>
      <c r="J205" s="123" t="n">
        <f aca="false">D205*G205</f>
        <v>0</v>
      </c>
    </row>
    <row r="206" customFormat="false" ht="17.25" hidden="false" customHeight="true" outlineLevel="0" collapsed="false">
      <c r="A206" s="32" t="s">
        <v>276</v>
      </c>
      <c r="B206" s="32" t="s">
        <v>273</v>
      </c>
      <c r="C206" s="32" t="s">
        <v>15</v>
      </c>
      <c r="D206" s="33" t="n">
        <v>45.15</v>
      </c>
      <c r="E206" s="34" t="n">
        <v>0</v>
      </c>
      <c r="F206" s="35" t="n">
        <f aca="false">D206*E206</f>
        <v>0</v>
      </c>
      <c r="G206" s="34" t="n">
        <v>0</v>
      </c>
      <c r="H206" s="34" t="n">
        <f aca="false">G206-E206</f>
        <v>0</v>
      </c>
      <c r="I206" s="36" t="n">
        <f aca="false">D206*H206</f>
        <v>0</v>
      </c>
      <c r="J206" s="123" t="n">
        <f aca="false">D206*G206</f>
        <v>0</v>
      </c>
    </row>
    <row r="207" customFormat="false" ht="17.25" hidden="false" customHeight="true" outlineLevel="0" collapsed="false">
      <c r="A207" s="32" t="s">
        <v>277</v>
      </c>
      <c r="B207" s="32" t="s">
        <v>273</v>
      </c>
      <c r="C207" s="32" t="s">
        <v>15</v>
      </c>
      <c r="D207" s="33" t="n">
        <v>45.15</v>
      </c>
      <c r="E207" s="34" t="n">
        <v>0</v>
      </c>
      <c r="F207" s="35" t="n">
        <f aca="false">D207*E207</f>
        <v>0</v>
      </c>
      <c r="G207" s="34" t="n">
        <v>0</v>
      </c>
      <c r="H207" s="34" t="n">
        <f aca="false">G207-E207</f>
        <v>0</v>
      </c>
      <c r="I207" s="36" t="n">
        <f aca="false">D207*H207</f>
        <v>0</v>
      </c>
      <c r="J207" s="123" t="n">
        <f aca="false">D207*G207</f>
        <v>0</v>
      </c>
    </row>
    <row r="208" customFormat="false" ht="17.25" hidden="false" customHeight="true" outlineLevel="0" collapsed="false">
      <c r="A208" s="32" t="s">
        <v>278</v>
      </c>
      <c r="B208" s="32" t="s">
        <v>273</v>
      </c>
      <c r="C208" s="32" t="s">
        <v>15</v>
      </c>
      <c r="D208" s="33" t="n">
        <v>45.15</v>
      </c>
      <c r="E208" s="34" t="n">
        <v>0</v>
      </c>
      <c r="F208" s="35" t="n">
        <f aca="false">D208*E208</f>
        <v>0</v>
      </c>
      <c r="G208" s="34" t="n">
        <v>0</v>
      </c>
      <c r="H208" s="34" t="n">
        <f aca="false">G208-E208</f>
        <v>0</v>
      </c>
      <c r="I208" s="36" t="n">
        <f aca="false">D208*H208</f>
        <v>0</v>
      </c>
      <c r="J208" s="123" t="n">
        <f aca="false">D208*G208</f>
        <v>0</v>
      </c>
    </row>
    <row r="209" customFormat="false" ht="17.25" hidden="false" customHeight="true" outlineLevel="0" collapsed="false">
      <c r="A209" s="32" t="s">
        <v>279</v>
      </c>
      <c r="B209" s="32" t="s">
        <v>273</v>
      </c>
      <c r="C209" s="32" t="s">
        <v>15</v>
      </c>
      <c r="D209" s="33" t="n">
        <v>45.15</v>
      </c>
      <c r="E209" s="34" t="n">
        <v>3</v>
      </c>
      <c r="F209" s="35" t="n">
        <f aca="false">D209*E209</f>
        <v>135.45</v>
      </c>
      <c r="G209" s="34" t="n">
        <v>3</v>
      </c>
      <c r="H209" s="34" t="n">
        <f aca="false">G209-E209</f>
        <v>0</v>
      </c>
      <c r="I209" s="36" t="n">
        <f aca="false">D209*H209</f>
        <v>0</v>
      </c>
      <c r="J209" s="123" t="n">
        <f aca="false">D209*G209</f>
        <v>135.45</v>
      </c>
    </row>
    <row r="210" customFormat="false" ht="17.25" hidden="false" customHeight="true" outlineLevel="0" collapsed="false">
      <c r="A210" s="32" t="s">
        <v>280</v>
      </c>
      <c r="B210" s="32" t="s">
        <v>273</v>
      </c>
      <c r="C210" s="32" t="s">
        <v>15</v>
      </c>
      <c r="D210" s="33" t="n">
        <v>45.15</v>
      </c>
      <c r="E210" s="34" t="n">
        <v>2</v>
      </c>
      <c r="F210" s="35" t="n">
        <f aca="false">D210*E210</f>
        <v>90.3</v>
      </c>
      <c r="G210" s="34" t="n">
        <v>1</v>
      </c>
      <c r="H210" s="34" t="n">
        <f aca="false">G210-E210</f>
        <v>-1</v>
      </c>
      <c r="I210" s="36" t="n">
        <f aca="false">D210*H210</f>
        <v>-45.15</v>
      </c>
      <c r="J210" s="123" t="n">
        <f aca="false">D210*G210</f>
        <v>45.15</v>
      </c>
    </row>
    <row r="211" customFormat="false" ht="18.75" hidden="false" customHeight="false" outlineLevel="0" collapsed="false">
      <c r="A211" s="97"/>
      <c r="B211" s="98"/>
      <c r="C211" s="98"/>
      <c r="D211" s="124"/>
      <c r="E211" s="92"/>
      <c r="F211" s="35" t="s">
        <v>5</v>
      </c>
      <c r="G211" s="92"/>
      <c r="H211" s="92"/>
      <c r="I211" s="124"/>
      <c r="J211" s="119" t="n">
        <f aca="false">D211*G211</f>
        <v>0</v>
      </c>
    </row>
    <row r="212" customFormat="false" ht="18.75" hidden="false" customHeight="false" outlineLevel="0" collapsed="false">
      <c r="A212" s="101" t="s">
        <v>281</v>
      </c>
      <c r="B212" s="102" t="s">
        <v>282</v>
      </c>
      <c r="C212" s="102" t="s">
        <v>23</v>
      </c>
      <c r="D212" s="103" t="n">
        <v>45.15</v>
      </c>
      <c r="E212" s="104" t="n">
        <v>6</v>
      </c>
      <c r="F212" s="105"/>
      <c r="G212" s="104" t="n">
        <v>3</v>
      </c>
      <c r="H212" s="104" t="n">
        <f aca="false">G212-E212</f>
        <v>-3</v>
      </c>
      <c r="I212" s="106" t="n">
        <f aca="false">D212*H212</f>
        <v>-135.45</v>
      </c>
      <c r="J212" s="126" t="n">
        <f aca="false">D212*G212</f>
        <v>135.45</v>
      </c>
    </row>
    <row r="213" customFormat="false" ht="18.75" hidden="false" customHeight="false" outlineLevel="0" collapsed="false">
      <c r="A213" s="101" t="s">
        <v>283</v>
      </c>
      <c r="B213" s="102" t="s">
        <v>282</v>
      </c>
      <c r="C213" s="102" t="s">
        <v>23</v>
      </c>
      <c r="D213" s="103" t="n">
        <v>45.15</v>
      </c>
      <c r="E213" s="104" t="n">
        <v>2</v>
      </c>
      <c r="F213" s="105"/>
      <c r="G213" s="104" t="n">
        <v>2</v>
      </c>
      <c r="H213" s="104" t="n">
        <f aca="false">G213-E213</f>
        <v>0</v>
      </c>
      <c r="I213" s="106" t="n">
        <f aca="false">D213*H213</f>
        <v>0</v>
      </c>
      <c r="J213" s="126" t="n">
        <f aca="false">D213*G213</f>
        <v>90.3</v>
      </c>
    </row>
    <row r="214" customFormat="false" ht="18.75" hidden="false" customHeight="false" outlineLevel="0" collapsed="false">
      <c r="A214" s="101" t="s">
        <v>284</v>
      </c>
      <c r="B214" s="102" t="s">
        <v>285</v>
      </c>
      <c r="C214" s="102" t="s">
        <v>23</v>
      </c>
      <c r="D214" s="103" t="n">
        <v>45.15</v>
      </c>
      <c r="E214" s="104" t="n">
        <v>2</v>
      </c>
      <c r="F214" s="105"/>
      <c r="G214" s="104" t="n">
        <v>1</v>
      </c>
      <c r="H214" s="104" t="n">
        <f aca="false">G214-E214</f>
        <v>-1</v>
      </c>
      <c r="I214" s="106" t="n">
        <f aca="false">D214*H214</f>
        <v>-45.15</v>
      </c>
      <c r="J214" s="126" t="n">
        <f aca="false">D214*G214</f>
        <v>45.15</v>
      </c>
    </row>
    <row r="215" customFormat="false" ht="18.75" hidden="false" customHeight="false" outlineLevel="0" collapsed="false">
      <c r="A215" s="101" t="s">
        <v>286</v>
      </c>
      <c r="B215" s="102" t="s">
        <v>285</v>
      </c>
      <c r="C215" s="102" t="s">
        <v>23</v>
      </c>
      <c r="D215" s="103" t="n">
        <v>45.15</v>
      </c>
      <c r="E215" s="104" t="n">
        <v>2</v>
      </c>
      <c r="F215" s="105"/>
      <c r="G215" s="104" t="n">
        <v>3</v>
      </c>
      <c r="H215" s="104" t="n">
        <f aca="false">G215-E215</f>
        <v>1</v>
      </c>
      <c r="I215" s="106" t="n">
        <f aca="false">D215*H215</f>
        <v>45.15</v>
      </c>
      <c r="J215" s="126" t="n">
        <f aca="false">D215*G215</f>
        <v>135.45</v>
      </c>
    </row>
    <row r="216" customFormat="false" ht="18.75" hidden="false" customHeight="false" outlineLevel="0" collapsed="false">
      <c r="A216" s="73" t="s">
        <v>287</v>
      </c>
      <c r="B216" s="74" t="s">
        <v>288</v>
      </c>
      <c r="C216" s="74" t="s">
        <v>289</v>
      </c>
      <c r="D216" s="75" t="n">
        <v>45.15</v>
      </c>
      <c r="E216" s="76" t="n">
        <v>1</v>
      </c>
      <c r="F216" s="77"/>
      <c r="G216" s="76" t="n">
        <v>1</v>
      </c>
      <c r="H216" s="76" t="n">
        <f aca="false">G216-E216</f>
        <v>0</v>
      </c>
      <c r="I216" s="78" t="n">
        <f aca="false">D216*H216</f>
        <v>0</v>
      </c>
      <c r="J216" s="119" t="n">
        <f aca="false">D216*G216</f>
        <v>45.15</v>
      </c>
    </row>
    <row r="217" customFormat="false" ht="18.75" hidden="false" customHeight="false" outlineLevel="0" collapsed="false">
      <c r="A217" s="73" t="s">
        <v>290</v>
      </c>
      <c r="B217" s="74" t="s">
        <v>291</v>
      </c>
      <c r="C217" s="74" t="s">
        <v>289</v>
      </c>
      <c r="D217" s="75" t="n">
        <v>35</v>
      </c>
      <c r="E217" s="76" t="n">
        <v>1</v>
      </c>
      <c r="F217" s="77"/>
      <c r="G217" s="76" t="n">
        <v>1</v>
      </c>
      <c r="H217" s="76" t="n">
        <f aca="false">E217-G217</f>
        <v>0</v>
      </c>
      <c r="I217" s="78" t="n">
        <f aca="false">D217*H217</f>
        <v>0</v>
      </c>
      <c r="J217" s="119" t="n">
        <f aca="false">D217*G217</f>
        <v>35</v>
      </c>
    </row>
    <row r="218" customFormat="false" ht="19.5" hidden="false" customHeight="true" outlineLevel="0" collapsed="false">
      <c r="A218" s="73"/>
      <c r="B218" s="74"/>
      <c r="C218" s="74"/>
      <c r="D218" s="75"/>
      <c r="E218" s="76"/>
      <c r="F218" s="77"/>
      <c r="G218" s="76"/>
      <c r="H218" s="86" t="s">
        <v>5</v>
      </c>
      <c r="I218" s="87" t="n">
        <f aca="false">SUM(I193:I217)</f>
        <v>-283.03</v>
      </c>
      <c r="J218" s="119" t="n">
        <f aca="false">SUM(J192:J217)</f>
        <v>3363.92</v>
      </c>
      <c r="K218" s="89" t="n">
        <f aca="false">I218</f>
        <v>-283.03</v>
      </c>
      <c r="L218" s="89" t="n">
        <f aca="false">J218</f>
        <v>3363.92</v>
      </c>
    </row>
    <row r="219" customFormat="false" ht="19.5" hidden="false" customHeight="true" outlineLevel="0" collapsed="false">
      <c r="A219" s="8" t="s">
        <v>0</v>
      </c>
      <c r="B219" s="9" t="s">
        <v>1</v>
      </c>
      <c r="C219" s="9" t="s">
        <v>2</v>
      </c>
      <c r="D219" s="10" t="s">
        <v>3</v>
      </c>
      <c r="E219" s="11" t="s">
        <v>4</v>
      </c>
      <c r="F219" s="112" t="s">
        <v>5</v>
      </c>
      <c r="G219" s="11" t="s">
        <v>6</v>
      </c>
      <c r="H219" s="13" t="s">
        <v>7</v>
      </c>
      <c r="I219" s="14" t="s">
        <v>8</v>
      </c>
      <c r="J219" s="15" t="s">
        <v>9</v>
      </c>
    </row>
    <row r="220" customFormat="false" ht="18.75" hidden="false" customHeight="false" outlineLevel="0" collapsed="false">
      <c r="A220" s="73"/>
      <c r="B220" s="74"/>
      <c r="C220" s="74"/>
      <c r="D220" s="75"/>
      <c r="E220" s="76"/>
      <c r="F220" s="77"/>
      <c r="G220" s="76"/>
      <c r="H220" s="76"/>
      <c r="I220" s="78"/>
      <c r="J220" s="119" t="n">
        <f aca="false">D220*G220</f>
        <v>0</v>
      </c>
    </row>
    <row r="221" customFormat="false" ht="18.75" hidden="false" customHeight="false" outlineLevel="0" collapsed="false">
      <c r="A221" s="31" t="s">
        <v>292</v>
      </c>
      <c r="B221" s="32" t="s">
        <v>293</v>
      </c>
      <c r="C221" s="32" t="s">
        <v>15</v>
      </c>
      <c r="D221" s="33" t="n">
        <v>45.15</v>
      </c>
      <c r="E221" s="34" t="n">
        <v>1</v>
      </c>
      <c r="F221" s="35"/>
      <c r="G221" s="34" t="n">
        <v>1</v>
      </c>
      <c r="H221" s="34" t="n">
        <f aca="false">G221-E221</f>
        <v>0</v>
      </c>
      <c r="I221" s="36" t="n">
        <f aca="false">D221*H221</f>
        <v>0</v>
      </c>
      <c r="J221" s="123" t="n">
        <f aca="false">D221*G221</f>
        <v>45.15</v>
      </c>
    </row>
    <row r="222" customFormat="false" ht="18.75" hidden="false" customHeight="false" outlineLevel="0" collapsed="false">
      <c r="A222" s="31" t="s">
        <v>294</v>
      </c>
      <c r="B222" s="32" t="s">
        <v>293</v>
      </c>
      <c r="C222" s="32" t="s">
        <v>15</v>
      </c>
      <c r="D222" s="33" t="n">
        <v>45.15</v>
      </c>
      <c r="E222" s="34" t="n">
        <v>4</v>
      </c>
      <c r="F222" s="35"/>
      <c r="G222" s="34" t="n">
        <v>4</v>
      </c>
      <c r="H222" s="34" t="n">
        <f aca="false">G222-E222</f>
        <v>0</v>
      </c>
      <c r="I222" s="36" t="n">
        <f aca="false">D222*H222</f>
        <v>0</v>
      </c>
      <c r="J222" s="123" t="n">
        <f aca="false">D222*G222</f>
        <v>180.6</v>
      </c>
    </row>
    <row r="223" customFormat="false" ht="18.75" hidden="false" customHeight="false" outlineLevel="0" collapsed="false">
      <c r="A223" s="31" t="s">
        <v>295</v>
      </c>
      <c r="B223" s="32" t="s">
        <v>293</v>
      </c>
      <c r="C223" s="32" t="s">
        <v>15</v>
      </c>
      <c r="D223" s="33" t="n">
        <v>45.15</v>
      </c>
      <c r="E223" s="34" t="n">
        <v>3</v>
      </c>
      <c r="F223" s="35"/>
      <c r="G223" s="34" t="n">
        <v>3</v>
      </c>
      <c r="H223" s="34" t="n">
        <f aca="false">G223-E223</f>
        <v>0</v>
      </c>
      <c r="I223" s="36" t="n">
        <f aca="false">D223*H223</f>
        <v>0</v>
      </c>
      <c r="J223" s="123" t="n">
        <f aca="false">D223*G223</f>
        <v>135.45</v>
      </c>
    </row>
    <row r="224" customFormat="false" ht="18.75" hidden="false" customHeight="false" outlineLevel="0" collapsed="false">
      <c r="A224" s="31" t="s">
        <v>296</v>
      </c>
      <c r="B224" s="32" t="s">
        <v>293</v>
      </c>
      <c r="C224" s="32" t="s">
        <v>15</v>
      </c>
      <c r="D224" s="33" t="n">
        <v>45.15</v>
      </c>
      <c r="E224" s="34" t="n">
        <v>3</v>
      </c>
      <c r="F224" s="35"/>
      <c r="G224" s="34" t="n">
        <v>4</v>
      </c>
      <c r="H224" s="34" t="n">
        <f aca="false">G224-E224</f>
        <v>1</v>
      </c>
      <c r="I224" s="36" t="n">
        <f aca="false">D224*H224</f>
        <v>45.15</v>
      </c>
      <c r="J224" s="123" t="n">
        <f aca="false">D224*G224</f>
        <v>180.6</v>
      </c>
    </row>
    <row r="225" customFormat="false" ht="18.75" hidden="false" customHeight="false" outlineLevel="0" collapsed="false">
      <c r="A225" s="31" t="s">
        <v>297</v>
      </c>
      <c r="B225" s="32" t="s">
        <v>293</v>
      </c>
      <c r="C225" s="32" t="s">
        <v>15</v>
      </c>
      <c r="D225" s="33" t="n">
        <v>45.15</v>
      </c>
      <c r="E225" s="34" t="n">
        <v>0</v>
      </c>
      <c r="F225" s="35"/>
      <c r="G225" s="34" t="n">
        <v>0</v>
      </c>
      <c r="H225" s="34" t="n">
        <f aca="false">G225-E225</f>
        <v>0</v>
      </c>
      <c r="I225" s="36" t="n">
        <f aca="false">D225*H225</f>
        <v>0</v>
      </c>
      <c r="J225" s="123" t="n">
        <f aca="false">D225*G225</f>
        <v>0</v>
      </c>
    </row>
    <row r="226" customFormat="false" ht="18.75" hidden="false" customHeight="false" outlineLevel="0" collapsed="false">
      <c r="A226" s="31" t="s">
        <v>298</v>
      </c>
      <c r="B226" s="32" t="s">
        <v>293</v>
      </c>
      <c r="C226" s="32" t="s">
        <v>15</v>
      </c>
      <c r="D226" s="33" t="n">
        <v>45.15</v>
      </c>
      <c r="E226" s="34" t="n">
        <v>0</v>
      </c>
      <c r="F226" s="35"/>
      <c r="G226" s="34" t="n">
        <v>0</v>
      </c>
      <c r="H226" s="34" t="n">
        <f aca="false">G226-E226</f>
        <v>0</v>
      </c>
      <c r="I226" s="36" t="n">
        <f aca="false">D226*H226</f>
        <v>0</v>
      </c>
      <c r="J226" s="123" t="n">
        <f aca="false">D226*G226</f>
        <v>0</v>
      </c>
    </row>
    <row r="227" customFormat="false" ht="18.75" hidden="false" customHeight="false" outlineLevel="0" collapsed="false">
      <c r="A227" s="31" t="s">
        <v>299</v>
      </c>
      <c r="B227" s="32" t="s">
        <v>293</v>
      </c>
      <c r="C227" s="32" t="s">
        <v>15</v>
      </c>
      <c r="D227" s="33" t="n">
        <v>45.15</v>
      </c>
      <c r="E227" s="34" t="n">
        <v>0</v>
      </c>
      <c r="F227" s="35"/>
      <c r="G227" s="34" t="n">
        <v>0</v>
      </c>
      <c r="H227" s="34" t="n">
        <f aca="false">G227-E227</f>
        <v>0</v>
      </c>
      <c r="I227" s="36" t="n">
        <f aca="false">D227*H227</f>
        <v>0</v>
      </c>
      <c r="J227" s="123" t="n">
        <f aca="false">D227*G227</f>
        <v>0</v>
      </c>
    </row>
    <row r="228" customFormat="false" ht="18.75" hidden="false" customHeight="false" outlineLevel="0" collapsed="false">
      <c r="A228" s="31" t="s">
        <v>300</v>
      </c>
      <c r="B228" s="32" t="s">
        <v>293</v>
      </c>
      <c r="C228" s="32" t="s">
        <v>15</v>
      </c>
      <c r="D228" s="33" t="n">
        <v>45.15</v>
      </c>
      <c r="E228" s="34" t="n">
        <v>1</v>
      </c>
      <c r="F228" s="35"/>
      <c r="G228" s="34" t="n">
        <v>2</v>
      </c>
      <c r="H228" s="34" t="n">
        <f aca="false">G228-E228</f>
        <v>1</v>
      </c>
      <c r="I228" s="36" t="n">
        <f aca="false">D228*H228</f>
        <v>45.15</v>
      </c>
      <c r="J228" s="123" t="n">
        <f aca="false">D228*G228</f>
        <v>90.3</v>
      </c>
    </row>
    <row r="229" customFormat="false" ht="18.75" hidden="false" customHeight="false" outlineLevel="0" collapsed="false">
      <c r="A229" s="31" t="s">
        <v>301</v>
      </c>
      <c r="B229" s="32" t="s">
        <v>293</v>
      </c>
      <c r="C229" s="32" t="s">
        <v>15</v>
      </c>
      <c r="D229" s="33" t="n">
        <v>45.15</v>
      </c>
      <c r="E229" s="34" t="n">
        <v>2</v>
      </c>
      <c r="F229" s="35"/>
      <c r="G229" s="34" t="n">
        <v>2</v>
      </c>
      <c r="H229" s="34" t="n">
        <f aca="false">G229-E229</f>
        <v>0</v>
      </c>
      <c r="I229" s="36" t="n">
        <f aca="false">D229*H229</f>
        <v>0</v>
      </c>
      <c r="J229" s="123" t="n">
        <f aca="false">D229*G229</f>
        <v>90.3</v>
      </c>
    </row>
    <row r="230" customFormat="false" ht="18.75" hidden="false" customHeight="false" outlineLevel="0" collapsed="false">
      <c r="A230" s="31" t="s">
        <v>302</v>
      </c>
      <c r="B230" s="32" t="s">
        <v>293</v>
      </c>
      <c r="C230" s="32" t="s">
        <v>15</v>
      </c>
      <c r="D230" s="33" t="n">
        <v>45.15</v>
      </c>
      <c r="E230" s="34" t="n">
        <v>0</v>
      </c>
      <c r="F230" s="35"/>
      <c r="G230" s="34" t="n">
        <v>0</v>
      </c>
      <c r="H230" s="34" t="n">
        <f aca="false">G230-E230</f>
        <v>0</v>
      </c>
      <c r="I230" s="36" t="n">
        <f aca="false">D230*H230</f>
        <v>0</v>
      </c>
      <c r="J230" s="123" t="n">
        <f aca="false">D230*G230</f>
        <v>0</v>
      </c>
    </row>
    <row r="231" customFormat="false" ht="18.75" hidden="false" customHeight="false" outlineLevel="0" collapsed="false">
      <c r="A231" s="31" t="s">
        <v>303</v>
      </c>
      <c r="B231" s="32" t="s">
        <v>293</v>
      </c>
      <c r="C231" s="32" t="s">
        <v>15</v>
      </c>
      <c r="D231" s="33" t="n">
        <v>45.15</v>
      </c>
      <c r="E231" s="34" t="n">
        <v>1</v>
      </c>
      <c r="F231" s="35"/>
      <c r="G231" s="34" t="n">
        <v>1</v>
      </c>
      <c r="H231" s="34" t="n">
        <f aca="false">G231-E231</f>
        <v>0</v>
      </c>
      <c r="I231" s="36" t="n">
        <f aca="false">D231*H231</f>
        <v>0</v>
      </c>
      <c r="J231" s="123" t="n">
        <f aca="false">D231*G231</f>
        <v>45.15</v>
      </c>
    </row>
    <row r="232" customFormat="false" ht="18.75" hidden="false" customHeight="false" outlineLevel="0" collapsed="false">
      <c r="A232" s="97"/>
      <c r="B232" s="98"/>
      <c r="C232" s="98"/>
      <c r="D232" s="124"/>
      <c r="E232" s="92"/>
      <c r="F232" s="35"/>
      <c r="G232" s="92"/>
      <c r="H232" s="92"/>
      <c r="I232" s="124"/>
      <c r="J232" s="119" t="n">
        <f aca="false">D232*G232</f>
        <v>0</v>
      </c>
    </row>
    <row r="233" customFormat="false" ht="18.75" hidden="false" customHeight="false" outlineLevel="0" collapsed="false">
      <c r="A233" s="31" t="s">
        <v>304</v>
      </c>
      <c r="B233" s="32" t="s">
        <v>293</v>
      </c>
      <c r="C233" s="32" t="s">
        <v>15</v>
      </c>
      <c r="D233" s="33" t="n">
        <v>45.15</v>
      </c>
      <c r="E233" s="34" t="n">
        <v>2</v>
      </c>
      <c r="F233" s="35"/>
      <c r="G233" s="34" t="n">
        <v>2</v>
      </c>
      <c r="H233" s="34" t="n">
        <f aca="false">G233-E233</f>
        <v>0</v>
      </c>
      <c r="I233" s="36" t="n">
        <f aca="false">D233*H233</f>
        <v>0</v>
      </c>
      <c r="J233" s="123" t="n">
        <f aca="false">D233*G233</f>
        <v>90.3</v>
      </c>
    </row>
    <row r="234" customFormat="false" ht="18.75" hidden="false" customHeight="false" outlineLevel="0" collapsed="false">
      <c r="A234" s="31" t="s">
        <v>305</v>
      </c>
      <c r="B234" s="32" t="s">
        <v>293</v>
      </c>
      <c r="C234" s="32" t="s">
        <v>15</v>
      </c>
      <c r="D234" s="33" t="n">
        <v>45.15</v>
      </c>
      <c r="E234" s="34" t="n">
        <v>4</v>
      </c>
      <c r="F234" s="35"/>
      <c r="G234" s="34" t="n">
        <v>4</v>
      </c>
      <c r="H234" s="34" t="n">
        <f aca="false">G234-E234</f>
        <v>0</v>
      </c>
      <c r="I234" s="36" t="n">
        <f aca="false">D234*H234</f>
        <v>0</v>
      </c>
      <c r="J234" s="123" t="n">
        <f aca="false">D234*G234</f>
        <v>180.6</v>
      </c>
    </row>
    <row r="235" customFormat="false" ht="18.75" hidden="false" customHeight="false" outlineLevel="0" collapsed="false">
      <c r="A235" s="31" t="s">
        <v>306</v>
      </c>
      <c r="B235" s="32" t="s">
        <v>293</v>
      </c>
      <c r="C235" s="32" t="s">
        <v>15</v>
      </c>
      <c r="D235" s="33" t="n">
        <v>45.15</v>
      </c>
      <c r="E235" s="34" t="n">
        <v>1</v>
      </c>
      <c r="F235" s="35"/>
      <c r="G235" s="34" t="n">
        <v>2</v>
      </c>
      <c r="H235" s="34" t="n">
        <f aca="false">G235-E235</f>
        <v>1</v>
      </c>
      <c r="I235" s="36" t="n">
        <f aca="false">D235*H235</f>
        <v>45.15</v>
      </c>
      <c r="J235" s="123" t="n">
        <f aca="false">D235*G235</f>
        <v>90.3</v>
      </c>
    </row>
    <row r="236" customFormat="false" ht="18.75" hidden="false" customHeight="false" outlineLevel="0" collapsed="false">
      <c r="A236" s="31" t="s">
        <v>307</v>
      </c>
      <c r="B236" s="32" t="s">
        <v>293</v>
      </c>
      <c r="C236" s="32" t="s">
        <v>15</v>
      </c>
      <c r="D236" s="33" t="n">
        <v>45.15</v>
      </c>
      <c r="E236" s="34" t="n">
        <v>1</v>
      </c>
      <c r="F236" s="35"/>
      <c r="G236" s="34" t="n">
        <v>0</v>
      </c>
      <c r="H236" s="34" t="n">
        <f aca="false">G236-E236</f>
        <v>-1</v>
      </c>
      <c r="I236" s="36" t="n">
        <f aca="false">D236*H236</f>
        <v>-45.15</v>
      </c>
      <c r="J236" s="123" t="n">
        <f aca="false">D236*G236</f>
        <v>0</v>
      </c>
    </row>
    <row r="237" customFormat="false" ht="18.75" hidden="false" customHeight="false" outlineLevel="0" collapsed="false">
      <c r="A237" s="31" t="s">
        <v>308</v>
      </c>
      <c r="B237" s="32" t="s">
        <v>293</v>
      </c>
      <c r="C237" s="32" t="s">
        <v>15</v>
      </c>
      <c r="D237" s="33" t="n">
        <v>45.15</v>
      </c>
      <c r="E237" s="34" t="n">
        <v>0</v>
      </c>
      <c r="F237" s="35"/>
      <c r="G237" s="34" t="n">
        <v>0</v>
      </c>
      <c r="H237" s="34" t="n">
        <f aca="false">G237-E237</f>
        <v>0</v>
      </c>
      <c r="I237" s="36" t="n">
        <f aca="false">D237*H237</f>
        <v>0</v>
      </c>
      <c r="J237" s="123" t="n">
        <f aca="false">D237*G237</f>
        <v>0</v>
      </c>
    </row>
    <row r="238" customFormat="false" ht="18.75" hidden="false" customHeight="false" outlineLevel="0" collapsed="false">
      <c r="A238" s="31" t="s">
        <v>309</v>
      </c>
      <c r="B238" s="32" t="s">
        <v>293</v>
      </c>
      <c r="C238" s="32" t="s">
        <v>15</v>
      </c>
      <c r="D238" s="33" t="n">
        <v>45.15</v>
      </c>
      <c r="E238" s="34" t="n">
        <v>2</v>
      </c>
      <c r="F238" s="35"/>
      <c r="G238" s="34" t="n">
        <v>2</v>
      </c>
      <c r="H238" s="34" t="n">
        <f aca="false">G238-E238</f>
        <v>0</v>
      </c>
      <c r="I238" s="36" t="n">
        <f aca="false">D238*H238</f>
        <v>0</v>
      </c>
      <c r="J238" s="123" t="n">
        <f aca="false">D238*G238</f>
        <v>90.3</v>
      </c>
    </row>
    <row r="239" customFormat="false" ht="18.75" hidden="false" customHeight="false" outlineLevel="0" collapsed="false">
      <c r="A239" s="31" t="s">
        <v>310</v>
      </c>
      <c r="B239" s="32" t="s">
        <v>293</v>
      </c>
      <c r="C239" s="32" t="s">
        <v>15</v>
      </c>
      <c r="D239" s="33" t="n">
        <v>45.15</v>
      </c>
      <c r="E239" s="34" t="n">
        <v>3</v>
      </c>
      <c r="F239" s="35"/>
      <c r="G239" s="34" t="n">
        <v>4</v>
      </c>
      <c r="H239" s="34" t="n">
        <f aca="false">G239-E239</f>
        <v>1</v>
      </c>
      <c r="I239" s="36" t="n">
        <f aca="false">D239*H239</f>
        <v>45.15</v>
      </c>
      <c r="J239" s="123" t="n">
        <f aca="false">D239*G239</f>
        <v>180.6</v>
      </c>
    </row>
    <row r="240" customFormat="false" ht="18.75" hidden="false" customHeight="false" outlineLevel="0" collapsed="false">
      <c r="A240" s="31" t="s">
        <v>311</v>
      </c>
      <c r="B240" s="32" t="s">
        <v>293</v>
      </c>
      <c r="C240" s="32" t="s">
        <v>15</v>
      </c>
      <c r="D240" s="33" t="n">
        <v>45.15</v>
      </c>
      <c r="E240" s="34" t="n">
        <v>3</v>
      </c>
      <c r="F240" s="35"/>
      <c r="G240" s="34" t="n">
        <v>3</v>
      </c>
      <c r="H240" s="34" t="n">
        <f aca="false">G240-E240</f>
        <v>0</v>
      </c>
      <c r="I240" s="36" t="n">
        <f aca="false">D240*H240</f>
        <v>0</v>
      </c>
      <c r="J240" s="123" t="n">
        <f aca="false">D240*G240</f>
        <v>135.45</v>
      </c>
    </row>
    <row r="241" customFormat="false" ht="18.75" hidden="false" customHeight="false" outlineLevel="0" collapsed="false">
      <c r="A241" s="31" t="s">
        <v>312</v>
      </c>
      <c r="B241" s="32" t="s">
        <v>293</v>
      </c>
      <c r="C241" s="32" t="s">
        <v>15</v>
      </c>
      <c r="D241" s="33" t="n">
        <v>45.15</v>
      </c>
      <c r="E241" s="34" t="n">
        <v>0</v>
      </c>
      <c r="F241" s="35"/>
      <c r="G241" s="34" t="n">
        <v>0</v>
      </c>
      <c r="H241" s="34" t="n">
        <f aca="false">G241-E241</f>
        <v>0</v>
      </c>
      <c r="I241" s="36" t="n">
        <f aca="false">D241*H241</f>
        <v>0</v>
      </c>
      <c r="J241" s="123" t="n">
        <f aca="false">D241*G241</f>
        <v>0</v>
      </c>
    </row>
    <row r="242" customFormat="false" ht="18.75" hidden="false" customHeight="false" outlineLevel="0" collapsed="false">
      <c r="A242" s="31" t="s">
        <v>313</v>
      </c>
      <c r="B242" s="32" t="s">
        <v>293</v>
      </c>
      <c r="C242" s="32" t="s">
        <v>15</v>
      </c>
      <c r="D242" s="33" t="n">
        <v>45.15</v>
      </c>
      <c r="E242" s="34" t="n">
        <v>1</v>
      </c>
      <c r="F242" s="35"/>
      <c r="G242" s="34" t="n">
        <v>1</v>
      </c>
      <c r="H242" s="34" t="n">
        <f aca="false">G242-E242</f>
        <v>0</v>
      </c>
      <c r="I242" s="36" t="n">
        <f aca="false">D242*H242</f>
        <v>0</v>
      </c>
      <c r="J242" s="123" t="n">
        <f aca="false">D242*G242</f>
        <v>45.15</v>
      </c>
    </row>
    <row r="243" customFormat="false" ht="18.75" hidden="false" customHeight="false" outlineLevel="0" collapsed="false">
      <c r="A243" s="97"/>
      <c r="B243" s="98"/>
      <c r="C243" s="98"/>
      <c r="D243" s="124"/>
      <c r="E243" s="92"/>
      <c r="F243" s="35"/>
      <c r="G243" s="92"/>
      <c r="H243" s="92"/>
      <c r="I243" s="124"/>
      <c r="J243" s="119" t="n">
        <f aca="false">D243*G243</f>
        <v>0</v>
      </c>
    </row>
    <row r="244" customFormat="false" ht="18.75" hidden="false" customHeight="false" outlineLevel="0" collapsed="false">
      <c r="A244" s="97"/>
      <c r="B244" s="98"/>
      <c r="C244" s="98"/>
      <c r="D244" s="124"/>
      <c r="E244" s="92"/>
      <c r="F244" s="35"/>
      <c r="G244" s="92"/>
      <c r="H244" s="92"/>
      <c r="I244" s="124"/>
      <c r="J244" s="119" t="n">
        <f aca="false">D244*G244</f>
        <v>0</v>
      </c>
    </row>
    <row r="245" customFormat="false" ht="18.75" hidden="false" customHeight="false" outlineLevel="0" collapsed="false">
      <c r="A245" s="97"/>
      <c r="B245" s="98"/>
      <c r="C245" s="98"/>
      <c r="D245" s="124"/>
      <c r="E245" s="92"/>
      <c r="F245" s="35"/>
      <c r="G245" s="92"/>
      <c r="H245" s="92"/>
      <c r="I245" s="124"/>
      <c r="J245" s="119" t="n">
        <f aca="false">D245*G245</f>
        <v>0</v>
      </c>
    </row>
    <row r="246" customFormat="false" ht="19.5" hidden="false" customHeight="true" outlineLevel="0" collapsed="false">
      <c r="A246" s="97"/>
      <c r="B246" s="98"/>
      <c r="C246" s="98"/>
      <c r="D246" s="124"/>
      <c r="E246" s="92"/>
      <c r="F246" s="35"/>
      <c r="G246" s="92"/>
      <c r="H246" s="86" t="s">
        <v>5</v>
      </c>
      <c r="I246" s="87" t="n">
        <f aca="false">SUM(I221:I245)</f>
        <v>135.45</v>
      </c>
      <c r="J246" s="119" t="n">
        <f aca="false">SUM(J220:J245)</f>
        <v>1580.25</v>
      </c>
      <c r="K246" s="89" t="n">
        <f aca="false">I246</f>
        <v>135.45</v>
      </c>
      <c r="L246" s="89" t="n">
        <f aca="false">J246</f>
        <v>1580.25</v>
      </c>
    </row>
    <row r="247" customFormat="false" ht="19.5" hidden="false" customHeight="true" outlineLevel="0" collapsed="false">
      <c r="A247" s="8" t="s">
        <v>0</v>
      </c>
      <c r="B247" s="9" t="s">
        <v>1</v>
      </c>
      <c r="C247" s="9" t="s">
        <v>2</v>
      </c>
      <c r="D247" s="10" t="s">
        <v>3</v>
      </c>
      <c r="E247" s="11" t="s">
        <v>4</v>
      </c>
      <c r="F247" s="112" t="s">
        <v>5</v>
      </c>
      <c r="G247" s="11" t="s">
        <v>6</v>
      </c>
      <c r="H247" s="13" t="s">
        <v>7</v>
      </c>
      <c r="I247" s="14" t="s">
        <v>8</v>
      </c>
      <c r="J247" s="127" t="s">
        <v>9</v>
      </c>
    </row>
    <row r="248" customFormat="false" ht="18.75" hidden="false" customHeight="false" outlineLevel="0" collapsed="false">
      <c r="A248" s="31" t="s">
        <v>314</v>
      </c>
      <c r="B248" s="32" t="s">
        <v>293</v>
      </c>
      <c r="C248" s="32" t="s">
        <v>15</v>
      </c>
      <c r="D248" s="33" t="n">
        <v>45.15</v>
      </c>
      <c r="E248" s="34" t="n">
        <v>1</v>
      </c>
      <c r="F248" s="35" t="n">
        <f aca="false">D248*E248</f>
        <v>45.15</v>
      </c>
      <c r="G248" s="34" t="n">
        <v>1</v>
      </c>
      <c r="H248" s="34" t="n">
        <f aca="false">G248-E248</f>
        <v>0</v>
      </c>
      <c r="I248" s="36" t="n">
        <f aca="false">D248*H248</f>
        <v>0</v>
      </c>
      <c r="J248" s="123" t="n">
        <f aca="false">D248*G248</f>
        <v>45.15</v>
      </c>
    </row>
    <row r="249" customFormat="false" ht="18.75" hidden="false" customHeight="false" outlineLevel="0" collapsed="false">
      <c r="A249" s="31" t="s">
        <v>315</v>
      </c>
      <c r="B249" s="32" t="s">
        <v>293</v>
      </c>
      <c r="C249" s="32" t="s">
        <v>15</v>
      </c>
      <c r="D249" s="33" t="n">
        <v>45.15</v>
      </c>
      <c r="E249" s="34" t="n">
        <v>1</v>
      </c>
      <c r="F249" s="35" t="n">
        <f aca="false">D249*E249</f>
        <v>45.15</v>
      </c>
      <c r="G249" s="34" t="n">
        <v>2</v>
      </c>
      <c r="H249" s="34" t="n">
        <f aca="false">G249-E249</f>
        <v>1</v>
      </c>
      <c r="I249" s="36" t="n">
        <f aca="false">D249*H249</f>
        <v>45.15</v>
      </c>
      <c r="J249" s="123" t="n">
        <f aca="false">D249*G249</f>
        <v>90.3</v>
      </c>
    </row>
    <row r="250" customFormat="false" ht="18.75" hidden="false" customHeight="false" outlineLevel="0" collapsed="false">
      <c r="A250" s="31" t="s">
        <v>316</v>
      </c>
      <c r="B250" s="32" t="s">
        <v>293</v>
      </c>
      <c r="C250" s="32" t="s">
        <v>15</v>
      </c>
      <c r="D250" s="33" t="n">
        <v>45.15</v>
      </c>
      <c r="E250" s="34" t="n">
        <v>5</v>
      </c>
      <c r="F250" s="35" t="n">
        <f aca="false">D250*E250</f>
        <v>225.75</v>
      </c>
      <c r="G250" s="34" t="n">
        <v>5</v>
      </c>
      <c r="H250" s="34" t="n">
        <f aca="false">G250-E250</f>
        <v>0</v>
      </c>
      <c r="I250" s="36" t="n">
        <f aca="false">D250*H250</f>
        <v>0</v>
      </c>
      <c r="J250" s="123" t="n">
        <f aca="false">D250*G250</f>
        <v>225.75</v>
      </c>
    </row>
    <row r="251" customFormat="false" ht="18.75" hidden="false" customHeight="false" outlineLevel="0" collapsed="false">
      <c r="A251" s="31" t="s">
        <v>317</v>
      </c>
      <c r="B251" s="32" t="s">
        <v>293</v>
      </c>
      <c r="C251" s="32" t="s">
        <v>15</v>
      </c>
      <c r="D251" s="33" t="n">
        <v>45.15</v>
      </c>
      <c r="E251" s="34" t="n">
        <v>5</v>
      </c>
      <c r="F251" s="35" t="n">
        <f aca="false">D251*E251</f>
        <v>225.75</v>
      </c>
      <c r="G251" s="34" t="n">
        <v>5</v>
      </c>
      <c r="H251" s="34" t="n">
        <f aca="false">G251-E251</f>
        <v>0</v>
      </c>
      <c r="I251" s="36" t="n">
        <f aca="false">D251*H251</f>
        <v>0</v>
      </c>
      <c r="J251" s="123" t="n">
        <f aca="false">D251*G251</f>
        <v>225.75</v>
      </c>
    </row>
    <row r="252" customFormat="false" ht="18.75" hidden="false" customHeight="false" outlineLevel="0" collapsed="false">
      <c r="A252" s="31" t="s">
        <v>318</v>
      </c>
      <c r="B252" s="32" t="s">
        <v>293</v>
      </c>
      <c r="C252" s="32" t="s">
        <v>15</v>
      </c>
      <c r="D252" s="33" t="n">
        <v>45.15</v>
      </c>
      <c r="E252" s="34" t="n">
        <v>1</v>
      </c>
      <c r="F252" s="35" t="n">
        <f aca="false">D252*E252</f>
        <v>45.15</v>
      </c>
      <c r="G252" s="34" t="n">
        <v>1</v>
      </c>
      <c r="H252" s="34" t="n">
        <f aca="false">G252-E252</f>
        <v>0</v>
      </c>
      <c r="I252" s="36" t="n">
        <f aca="false">D252*H252</f>
        <v>0</v>
      </c>
      <c r="J252" s="123" t="n">
        <f aca="false">D252*G252</f>
        <v>45.15</v>
      </c>
    </row>
    <row r="253" customFormat="false" ht="18.75" hidden="false" customHeight="false" outlineLevel="0" collapsed="false">
      <c r="A253" s="31" t="s">
        <v>319</v>
      </c>
      <c r="B253" s="32" t="s">
        <v>293</v>
      </c>
      <c r="C253" s="32" t="s">
        <v>15</v>
      </c>
      <c r="D253" s="33" t="n">
        <v>45.15</v>
      </c>
      <c r="E253" s="34" t="n">
        <v>2</v>
      </c>
      <c r="F253" s="35" t="n">
        <f aca="false">D253*E253</f>
        <v>90.3</v>
      </c>
      <c r="G253" s="34" t="n">
        <v>2</v>
      </c>
      <c r="H253" s="34" t="n">
        <f aca="false">G253-E253</f>
        <v>0</v>
      </c>
      <c r="I253" s="36" t="n">
        <f aca="false">D253*H253</f>
        <v>0</v>
      </c>
      <c r="J253" s="123" t="n">
        <f aca="false">D253*G253</f>
        <v>90.3</v>
      </c>
    </row>
    <row r="254" customFormat="false" ht="18.75" hidden="false" customHeight="false" outlineLevel="0" collapsed="false">
      <c r="A254" s="31" t="s">
        <v>320</v>
      </c>
      <c r="B254" s="32" t="s">
        <v>293</v>
      </c>
      <c r="C254" s="32" t="s">
        <v>15</v>
      </c>
      <c r="D254" s="33" t="n">
        <v>45.15</v>
      </c>
      <c r="E254" s="34" t="n">
        <v>0</v>
      </c>
      <c r="F254" s="35" t="n">
        <f aca="false">D254*E254</f>
        <v>0</v>
      </c>
      <c r="G254" s="34" t="n">
        <v>0</v>
      </c>
      <c r="H254" s="34" t="n">
        <f aca="false">G254-E254</f>
        <v>0</v>
      </c>
      <c r="I254" s="36" t="n">
        <f aca="false">D254*H254</f>
        <v>0</v>
      </c>
      <c r="J254" s="123" t="n">
        <f aca="false">D254*G254</f>
        <v>0</v>
      </c>
    </row>
    <row r="255" customFormat="false" ht="18.75" hidden="false" customHeight="false" outlineLevel="0" collapsed="false">
      <c r="A255" s="31" t="s">
        <v>321</v>
      </c>
      <c r="B255" s="32" t="s">
        <v>293</v>
      </c>
      <c r="C255" s="32" t="s">
        <v>15</v>
      </c>
      <c r="D255" s="33" t="n">
        <v>45.15</v>
      </c>
      <c r="E255" s="34" t="n">
        <v>0</v>
      </c>
      <c r="F255" s="35" t="n">
        <f aca="false">D255*E255</f>
        <v>0</v>
      </c>
      <c r="G255" s="34" t="n">
        <v>0</v>
      </c>
      <c r="H255" s="34" t="n">
        <f aca="false">G255-E255</f>
        <v>0</v>
      </c>
      <c r="I255" s="36" t="n">
        <f aca="false">D255*H255</f>
        <v>0</v>
      </c>
      <c r="J255" s="123" t="n">
        <f aca="false">D255*G255</f>
        <v>0</v>
      </c>
    </row>
    <row r="256" customFormat="false" ht="18.75" hidden="false" customHeight="false" outlineLevel="0" collapsed="false">
      <c r="A256" s="73"/>
      <c r="B256" s="74"/>
      <c r="C256" s="74"/>
      <c r="D256" s="75"/>
      <c r="E256" s="76"/>
      <c r="F256" s="77"/>
      <c r="G256" s="76"/>
      <c r="H256" s="76"/>
      <c r="I256" s="78"/>
      <c r="J256" s="119" t="n">
        <f aca="false">D256*G256</f>
        <v>0</v>
      </c>
    </row>
    <row r="257" customFormat="false" ht="18.75" hidden="false" customHeight="false" outlineLevel="0" collapsed="false">
      <c r="A257" s="31" t="s">
        <v>322</v>
      </c>
      <c r="B257" s="32" t="s">
        <v>293</v>
      </c>
      <c r="C257" s="32" t="s">
        <v>15</v>
      </c>
      <c r="D257" s="33" t="n">
        <v>45.15</v>
      </c>
      <c r="E257" s="34" t="n">
        <v>1</v>
      </c>
      <c r="F257" s="35" t="n">
        <f aca="false">D257*E257</f>
        <v>45.15</v>
      </c>
      <c r="G257" s="34" t="n">
        <v>1</v>
      </c>
      <c r="H257" s="34" t="n">
        <f aca="false">G257-E257</f>
        <v>0</v>
      </c>
      <c r="I257" s="36" t="n">
        <f aca="false">D257*H257</f>
        <v>0</v>
      </c>
      <c r="J257" s="123" t="n">
        <f aca="false">D257*G257</f>
        <v>45.15</v>
      </c>
    </row>
    <row r="258" customFormat="false" ht="18.75" hidden="false" customHeight="false" outlineLevel="0" collapsed="false">
      <c r="A258" s="31" t="s">
        <v>323</v>
      </c>
      <c r="B258" s="32" t="s">
        <v>293</v>
      </c>
      <c r="C258" s="32" t="s">
        <v>15</v>
      </c>
      <c r="D258" s="33" t="n">
        <v>45.15</v>
      </c>
      <c r="E258" s="34" t="n">
        <v>0</v>
      </c>
      <c r="F258" s="35" t="n">
        <f aca="false">D258*E258</f>
        <v>0</v>
      </c>
      <c r="G258" s="34" t="n">
        <v>0</v>
      </c>
      <c r="H258" s="34" t="n">
        <f aca="false">G258-E258</f>
        <v>0</v>
      </c>
      <c r="I258" s="36" t="n">
        <f aca="false">D258*H258</f>
        <v>0</v>
      </c>
      <c r="J258" s="123" t="n">
        <f aca="false">D258*G258</f>
        <v>0</v>
      </c>
    </row>
    <row r="259" customFormat="false" ht="18.75" hidden="false" customHeight="false" outlineLevel="0" collapsed="false">
      <c r="A259" s="31" t="s">
        <v>324</v>
      </c>
      <c r="B259" s="32" t="s">
        <v>293</v>
      </c>
      <c r="C259" s="32" t="s">
        <v>15</v>
      </c>
      <c r="D259" s="33" t="n">
        <v>45.15</v>
      </c>
      <c r="E259" s="34" t="n">
        <v>2</v>
      </c>
      <c r="F259" s="35" t="n">
        <f aca="false">D259*E259</f>
        <v>90.3</v>
      </c>
      <c r="G259" s="34" t="n">
        <v>2</v>
      </c>
      <c r="H259" s="34" t="n">
        <f aca="false">G259-E259</f>
        <v>0</v>
      </c>
      <c r="I259" s="36" t="n">
        <f aca="false">D259*H259</f>
        <v>0</v>
      </c>
      <c r="J259" s="123" t="n">
        <f aca="false">D259*G259</f>
        <v>90.3</v>
      </c>
    </row>
    <row r="260" customFormat="false" ht="18.75" hidden="false" customHeight="false" outlineLevel="0" collapsed="false">
      <c r="A260" s="31" t="s">
        <v>325</v>
      </c>
      <c r="B260" s="32" t="s">
        <v>293</v>
      </c>
      <c r="C260" s="32" t="s">
        <v>15</v>
      </c>
      <c r="D260" s="33" t="n">
        <v>45.15</v>
      </c>
      <c r="E260" s="34" t="n">
        <v>2</v>
      </c>
      <c r="F260" s="35" t="n">
        <f aca="false">D260*E260</f>
        <v>90.3</v>
      </c>
      <c r="G260" s="34" t="n">
        <v>2</v>
      </c>
      <c r="H260" s="34" t="n">
        <f aca="false">G260-E260</f>
        <v>0</v>
      </c>
      <c r="I260" s="36" t="n">
        <f aca="false">D260*H260</f>
        <v>0</v>
      </c>
      <c r="J260" s="123" t="n">
        <f aca="false">D260*G260</f>
        <v>90.3</v>
      </c>
    </row>
    <row r="261" customFormat="false" ht="18.75" hidden="false" customHeight="false" outlineLevel="0" collapsed="false">
      <c r="A261" s="31" t="s">
        <v>326</v>
      </c>
      <c r="B261" s="32" t="s">
        <v>293</v>
      </c>
      <c r="C261" s="32" t="s">
        <v>15</v>
      </c>
      <c r="D261" s="33" t="n">
        <v>45.15</v>
      </c>
      <c r="E261" s="34" t="n">
        <v>2</v>
      </c>
      <c r="F261" s="35" t="n">
        <f aca="false">D261*E261</f>
        <v>90.3</v>
      </c>
      <c r="G261" s="34" t="n">
        <v>2</v>
      </c>
      <c r="H261" s="34" t="n">
        <f aca="false">G261-E261</f>
        <v>0</v>
      </c>
      <c r="I261" s="36" t="n">
        <f aca="false">D261*H261</f>
        <v>0</v>
      </c>
      <c r="J261" s="123" t="n">
        <f aca="false">D261*G261</f>
        <v>90.3</v>
      </c>
    </row>
    <row r="262" customFormat="false" ht="18.75" hidden="false" customHeight="false" outlineLevel="0" collapsed="false">
      <c r="A262" s="31" t="s">
        <v>327</v>
      </c>
      <c r="B262" s="32" t="s">
        <v>293</v>
      </c>
      <c r="C262" s="32" t="s">
        <v>15</v>
      </c>
      <c r="D262" s="33" t="n">
        <v>45.15</v>
      </c>
      <c r="E262" s="34" t="n">
        <v>2</v>
      </c>
      <c r="F262" s="35" t="n">
        <f aca="false">D262*E262</f>
        <v>90.3</v>
      </c>
      <c r="G262" s="34" t="n">
        <v>2</v>
      </c>
      <c r="H262" s="34" t="n">
        <f aca="false">G262-E262</f>
        <v>0</v>
      </c>
      <c r="I262" s="36" t="n">
        <f aca="false">D262*H262</f>
        <v>0</v>
      </c>
      <c r="J262" s="123" t="n">
        <f aca="false">D262*G262</f>
        <v>90.3</v>
      </c>
    </row>
    <row r="263" customFormat="false" ht="18.75" hidden="false" customHeight="false" outlineLevel="0" collapsed="false">
      <c r="A263" s="31" t="s">
        <v>328</v>
      </c>
      <c r="B263" s="32" t="s">
        <v>293</v>
      </c>
      <c r="C263" s="32" t="s">
        <v>15</v>
      </c>
      <c r="D263" s="33" t="n">
        <v>45.15</v>
      </c>
      <c r="E263" s="34" t="n">
        <v>0</v>
      </c>
      <c r="F263" s="35" t="n">
        <f aca="false">D263*E263</f>
        <v>0</v>
      </c>
      <c r="G263" s="34" t="n">
        <v>0</v>
      </c>
      <c r="H263" s="34" t="n">
        <f aca="false">G263-E263</f>
        <v>0</v>
      </c>
      <c r="I263" s="36" t="n">
        <f aca="false">D263*H263</f>
        <v>0</v>
      </c>
      <c r="J263" s="123" t="n">
        <f aca="false">D263*G263</f>
        <v>0</v>
      </c>
    </row>
    <row r="264" customFormat="false" ht="18.75" hidden="false" customHeight="false" outlineLevel="0" collapsed="false">
      <c r="A264" s="31" t="s">
        <v>329</v>
      </c>
      <c r="B264" s="32" t="s">
        <v>293</v>
      </c>
      <c r="C264" s="32" t="s">
        <v>15</v>
      </c>
      <c r="D264" s="33" t="n">
        <v>45.15</v>
      </c>
      <c r="E264" s="34" t="n">
        <v>1</v>
      </c>
      <c r="F264" s="35" t="n">
        <f aca="false">D264*E264</f>
        <v>45.15</v>
      </c>
      <c r="G264" s="34" t="n">
        <v>1</v>
      </c>
      <c r="H264" s="34" t="n">
        <f aca="false">G264-E264</f>
        <v>0</v>
      </c>
      <c r="I264" s="36" t="n">
        <f aca="false">D264*H264</f>
        <v>0</v>
      </c>
      <c r="J264" s="123" t="n">
        <f aca="false">D264*G264</f>
        <v>45.15</v>
      </c>
    </row>
    <row r="265" customFormat="false" ht="18.75" hidden="false" customHeight="false" outlineLevel="0" collapsed="false">
      <c r="A265" s="31" t="s">
        <v>330</v>
      </c>
      <c r="B265" s="32" t="s">
        <v>293</v>
      </c>
      <c r="C265" s="32" t="s">
        <v>15</v>
      </c>
      <c r="D265" s="33" t="n">
        <v>45.15</v>
      </c>
      <c r="E265" s="34" t="n">
        <v>0</v>
      </c>
      <c r="F265" s="35" t="n">
        <f aca="false">D265*E265</f>
        <v>0</v>
      </c>
      <c r="G265" s="34" t="n">
        <v>0</v>
      </c>
      <c r="H265" s="34" t="n">
        <f aca="false">G265-E265</f>
        <v>0</v>
      </c>
      <c r="I265" s="36" t="n">
        <f aca="false">D265*H265</f>
        <v>0</v>
      </c>
      <c r="J265" s="123" t="n">
        <f aca="false">D265*G265</f>
        <v>0</v>
      </c>
    </row>
    <row r="266" customFormat="false" ht="18.75" hidden="false" customHeight="false" outlineLevel="0" collapsed="false">
      <c r="A266" s="31" t="s">
        <v>325</v>
      </c>
      <c r="B266" s="32" t="s">
        <v>293</v>
      </c>
      <c r="C266" s="32" t="s">
        <v>15</v>
      </c>
      <c r="D266" s="33" t="n">
        <v>45.15</v>
      </c>
      <c r="E266" s="34" t="n">
        <v>0</v>
      </c>
      <c r="F266" s="35" t="n">
        <f aca="false">D266*E266</f>
        <v>0</v>
      </c>
      <c r="G266" s="34" t="n">
        <v>0</v>
      </c>
      <c r="H266" s="34" t="n">
        <f aca="false">G266-E266</f>
        <v>0</v>
      </c>
      <c r="I266" s="36" t="n">
        <f aca="false">D266*H266</f>
        <v>0</v>
      </c>
      <c r="J266" s="123" t="n">
        <f aca="false">D266*G266</f>
        <v>0</v>
      </c>
    </row>
    <row r="267" customFormat="false" ht="18.75" hidden="false" customHeight="false" outlineLevel="0" collapsed="false">
      <c r="A267" s="31" t="s">
        <v>331</v>
      </c>
      <c r="B267" s="32" t="s">
        <v>293</v>
      </c>
      <c r="C267" s="32" t="s">
        <v>15</v>
      </c>
      <c r="D267" s="33" t="n">
        <v>45.15</v>
      </c>
      <c r="E267" s="34" t="n">
        <v>0</v>
      </c>
      <c r="F267" s="35" t="n">
        <f aca="false">D267*E267</f>
        <v>0</v>
      </c>
      <c r="G267" s="34" t="n">
        <v>0</v>
      </c>
      <c r="H267" s="34" t="n">
        <f aca="false">G267-E267</f>
        <v>0</v>
      </c>
      <c r="I267" s="36" t="n">
        <f aca="false">D267*H267</f>
        <v>0</v>
      </c>
      <c r="J267" s="123" t="n">
        <f aca="false">D267*G267</f>
        <v>0</v>
      </c>
    </row>
    <row r="268" customFormat="false" ht="18.75" hidden="false" customHeight="false" outlineLevel="0" collapsed="false">
      <c r="A268" s="31" t="s">
        <v>332</v>
      </c>
      <c r="B268" s="32" t="s">
        <v>293</v>
      </c>
      <c r="C268" s="32" t="s">
        <v>15</v>
      </c>
      <c r="D268" s="33" t="n">
        <v>45.15</v>
      </c>
      <c r="E268" s="34" t="n">
        <v>0</v>
      </c>
      <c r="F268" s="35" t="n">
        <f aca="false">D268*E268</f>
        <v>0</v>
      </c>
      <c r="G268" s="34" t="n">
        <v>0</v>
      </c>
      <c r="H268" s="34" t="n">
        <f aca="false">G268-E268</f>
        <v>0</v>
      </c>
      <c r="I268" s="36" t="n">
        <f aca="false">D268*H268</f>
        <v>0</v>
      </c>
      <c r="J268" s="123" t="n">
        <f aca="false">D268*G268</f>
        <v>0</v>
      </c>
    </row>
    <row r="269" customFormat="false" ht="18.75" hidden="false" customHeight="false" outlineLevel="0" collapsed="false">
      <c r="A269" s="31" t="s">
        <v>333</v>
      </c>
      <c r="B269" s="32" t="s">
        <v>293</v>
      </c>
      <c r="C269" s="32" t="s">
        <v>15</v>
      </c>
      <c r="D269" s="33" t="n">
        <v>45.15</v>
      </c>
      <c r="E269" s="34" t="n">
        <v>0</v>
      </c>
      <c r="F269" s="35" t="n">
        <f aca="false">D269*E269</f>
        <v>0</v>
      </c>
      <c r="G269" s="34" t="n">
        <v>0</v>
      </c>
      <c r="H269" s="34" t="n">
        <f aca="false">G269-E269</f>
        <v>0</v>
      </c>
      <c r="I269" s="36" t="n">
        <f aca="false">D269*H269</f>
        <v>0</v>
      </c>
      <c r="J269" s="123" t="n">
        <f aca="false">D269*G269</f>
        <v>0</v>
      </c>
    </row>
    <row r="270" customFormat="false" ht="18.75" hidden="false" customHeight="false" outlineLevel="0" collapsed="false">
      <c r="A270" s="31" t="s">
        <v>334</v>
      </c>
      <c r="B270" s="32" t="s">
        <v>293</v>
      </c>
      <c r="C270" s="32" t="s">
        <v>15</v>
      </c>
      <c r="D270" s="33" t="n">
        <v>45.15</v>
      </c>
      <c r="E270" s="34" t="n">
        <v>0</v>
      </c>
      <c r="F270" s="35" t="n">
        <f aca="false">D270*E270</f>
        <v>0</v>
      </c>
      <c r="G270" s="34" t="n">
        <v>0</v>
      </c>
      <c r="H270" s="34" t="n">
        <f aca="false">G270-E270</f>
        <v>0</v>
      </c>
      <c r="I270" s="36" t="n">
        <f aca="false">D270*H270</f>
        <v>0</v>
      </c>
      <c r="J270" s="123" t="n">
        <f aca="false">D270*G270</f>
        <v>0</v>
      </c>
    </row>
    <row r="271" customFormat="false" ht="18.75" hidden="false" customHeight="false" outlineLevel="0" collapsed="false">
      <c r="A271" s="31" t="s">
        <v>335</v>
      </c>
      <c r="B271" s="32" t="s">
        <v>293</v>
      </c>
      <c r="C271" s="32" t="s">
        <v>15</v>
      </c>
      <c r="D271" s="33" t="n">
        <v>45.15</v>
      </c>
      <c r="E271" s="34" t="n">
        <v>0</v>
      </c>
      <c r="F271" s="35"/>
      <c r="G271" s="34" t="n">
        <v>1</v>
      </c>
      <c r="H271" s="34" t="n">
        <f aca="false">G271-E271</f>
        <v>1</v>
      </c>
      <c r="I271" s="36" t="n">
        <f aca="false">D271*H271</f>
        <v>45.15</v>
      </c>
      <c r="J271" s="123" t="n">
        <f aca="false">D271*G271</f>
        <v>45.15</v>
      </c>
    </row>
    <row r="272" customFormat="false" ht="18.75" hidden="false" customHeight="false" outlineLevel="0" collapsed="false">
      <c r="A272" s="73"/>
      <c r="B272" s="74"/>
      <c r="C272" s="74"/>
      <c r="D272" s="75"/>
      <c r="E272" s="76"/>
      <c r="F272" s="77"/>
      <c r="G272" s="76"/>
      <c r="H272" s="76"/>
      <c r="I272" s="78"/>
      <c r="J272" s="119" t="n">
        <f aca="false">D272*G272</f>
        <v>0</v>
      </c>
    </row>
    <row r="273" customFormat="false" ht="19.5" hidden="false" customHeight="true" outlineLevel="0" collapsed="false">
      <c r="A273" s="73"/>
      <c r="B273" s="74"/>
      <c r="C273" s="74"/>
      <c r="D273" s="75"/>
      <c r="E273" s="76"/>
      <c r="F273" s="77"/>
      <c r="G273" s="76"/>
      <c r="H273" s="86" t="s">
        <v>5</v>
      </c>
      <c r="I273" s="87" t="n">
        <f aca="false">SUM(I248:I272)</f>
        <v>90.3</v>
      </c>
      <c r="J273" s="119" t="n">
        <f aca="false">SUM(J248:J272)</f>
        <v>1219.05</v>
      </c>
      <c r="K273" s="89" t="n">
        <f aca="false">I273</f>
        <v>90.3</v>
      </c>
      <c r="L273" s="89" t="n">
        <f aca="false">J273</f>
        <v>1219.05</v>
      </c>
    </row>
    <row r="274" customFormat="false" ht="19.5" hidden="false" customHeight="true" outlineLevel="0" collapsed="false">
      <c r="A274" s="8" t="s">
        <v>0</v>
      </c>
      <c r="B274" s="9" t="s">
        <v>1</v>
      </c>
      <c r="C274" s="9" t="s">
        <v>2</v>
      </c>
      <c r="D274" s="10" t="s">
        <v>3</v>
      </c>
      <c r="E274" s="11" t="s">
        <v>4</v>
      </c>
      <c r="F274" s="112" t="s">
        <v>5</v>
      </c>
      <c r="G274" s="11" t="s">
        <v>6</v>
      </c>
      <c r="H274" s="13" t="s">
        <v>7</v>
      </c>
      <c r="I274" s="14" t="s">
        <v>8</v>
      </c>
      <c r="J274" s="15" t="s">
        <v>9</v>
      </c>
    </row>
    <row r="275" customFormat="false" ht="18.75" hidden="false" customHeight="false" outlineLevel="0" collapsed="false">
      <c r="A275" s="73"/>
      <c r="B275" s="74"/>
      <c r="C275" s="74"/>
      <c r="D275" s="75" t="n">
        <v>0</v>
      </c>
      <c r="E275" s="76"/>
      <c r="F275" s="77"/>
      <c r="G275" s="76"/>
      <c r="H275" s="76"/>
      <c r="I275" s="78"/>
      <c r="J275" s="119" t="n">
        <f aca="false">D275*G275</f>
        <v>0</v>
      </c>
    </row>
    <row r="276" customFormat="false" ht="18.75" hidden="false" customHeight="false" outlineLevel="0" collapsed="false">
      <c r="A276" s="24" t="n">
        <v>4710</v>
      </c>
      <c r="B276" s="25" t="s">
        <v>336</v>
      </c>
      <c r="C276" s="25" t="s">
        <v>13</v>
      </c>
      <c r="D276" s="26" t="n">
        <v>8.35</v>
      </c>
      <c r="E276" s="27" t="n">
        <v>0</v>
      </c>
      <c r="F276" s="28" t="n">
        <f aca="false">D276*E276</f>
        <v>0</v>
      </c>
      <c r="G276" s="27" t="n">
        <v>0</v>
      </c>
      <c r="H276" s="27" t="n">
        <f aca="false">G276-E276</f>
        <v>0</v>
      </c>
      <c r="I276" s="29" t="n">
        <f aca="false">D276*H276</f>
        <v>0</v>
      </c>
      <c r="J276" s="30" t="n">
        <f aca="false">D276*G276</f>
        <v>0</v>
      </c>
    </row>
    <row r="277" customFormat="false" ht="18.75" hidden="false" customHeight="false" outlineLevel="0" collapsed="false">
      <c r="A277" s="24" t="n">
        <v>4715</v>
      </c>
      <c r="B277" s="25" t="s">
        <v>337</v>
      </c>
      <c r="C277" s="25" t="s">
        <v>13</v>
      </c>
      <c r="D277" s="26" t="n">
        <v>14.34</v>
      </c>
      <c r="E277" s="27" t="n">
        <v>2</v>
      </c>
      <c r="F277" s="28" t="n">
        <f aca="false">D277*E277</f>
        <v>28.68</v>
      </c>
      <c r="G277" s="27" t="n">
        <v>2</v>
      </c>
      <c r="H277" s="27" t="n">
        <f aca="false">G277-E277</f>
        <v>0</v>
      </c>
      <c r="I277" s="29" t="n">
        <f aca="false">D277*H277</f>
        <v>0</v>
      </c>
      <c r="J277" s="30" t="n">
        <f aca="false">D277*G277</f>
        <v>28.68</v>
      </c>
    </row>
    <row r="278" customFormat="false" ht="18.75" hidden="false" customHeight="false" outlineLevel="0" collapsed="false">
      <c r="A278" s="24" t="n">
        <v>12060</v>
      </c>
      <c r="B278" s="25" t="s">
        <v>338</v>
      </c>
      <c r="C278" s="25" t="s">
        <v>13</v>
      </c>
      <c r="D278" s="26" t="n">
        <v>8.28</v>
      </c>
      <c r="E278" s="27" t="n">
        <v>17</v>
      </c>
      <c r="F278" s="28" t="n">
        <f aca="false">D278*E278</f>
        <v>140.76</v>
      </c>
      <c r="G278" s="27" t="n">
        <v>17</v>
      </c>
      <c r="H278" s="27" t="n">
        <f aca="false">G278-E278</f>
        <v>0</v>
      </c>
      <c r="I278" s="29" t="n">
        <f aca="false">D278*H278</f>
        <v>0</v>
      </c>
      <c r="J278" s="30" t="n">
        <f aca="false">D278*G278</f>
        <v>140.76</v>
      </c>
    </row>
    <row r="279" customFormat="false" ht="18.75" hidden="false" customHeight="false" outlineLevel="0" collapsed="false">
      <c r="A279" s="57" t="n">
        <v>78501</v>
      </c>
      <c r="B279" s="58" t="s">
        <v>339</v>
      </c>
      <c r="C279" s="58" t="s">
        <v>27</v>
      </c>
      <c r="D279" s="59" t="n">
        <v>20.7</v>
      </c>
      <c r="E279" s="60" t="n">
        <v>0</v>
      </c>
      <c r="F279" s="35" t="n">
        <f aca="false">D279*E279</f>
        <v>0</v>
      </c>
      <c r="G279" s="60" t="n">
        <v>0</v>
      </c>
      <c r="H279" s="61" t="n">
        <f aca="false">G279-E279</f>
        <v>0</v>
      </c>
      <c r="I279" s="128" t="n">
        <f aca="false">D279*H279</f>
        <v>0</v>
      </c>
      <c r="J279" s="122" t="n">
        <f aca="false">D279*G279</f>
        <v>0</v>
      </c>
    </row>
    <row r="280" customFormat="false" ht="18.75" hidden="false" customHeight="false" outlineLevel="0" collapsed="false">
      <c r="A280" s="73"/>
      <c r="B280" s="74"/>
      <c r="C280" s="74"/>
      <c r="D280" s="75"/>
      <c r="E280" s="76"/>
      <c r="F280" s="77"/>
      <c r="G280" s="76"/>
      <c r="H280" s="76" t="n">
        <f aca="false">G280-E280</f>
        <v>0</v>
      </c>
      <c r="I280" s="78" t="n">
        <f aca="false">D280*H280</f>
        <v>0</v>
      </c>
      <c r="J280" s="119" t="n">
        <f aca="false">D280*G280</f>
        <v>0</v>
      </c>
    </row>
    <row r="281" customFormat="false" ht="18.75" hidden="false" customHeight="false" outlineLevel="0" collapsed="false">
      <c r="A281" s="73" t="s">
        <v>340</v>
      </c>
      <c r="B281" s="74" t="s">
        <v>341</v>
      </c>
      <c r="C281" s="74" t="s">
        <v>342</v>
      </c>
      <c r="D281" s="75" t="n">
        <v>51.54</v>
      </c>
      <c r="E281" s="76" t="n">
        <v>2</v>
      </c>
      <c r="F281" s="77"/>
      <c r="G281" s="76" t="n">
        <v>2</v>
      </c>
      <c r="H281" s="76" t="n">
        <f aca="false">G281-E281</f>
        <v>0</v>
      </c>
      <c r="I281" s="78" t="n">
        <f aca="false">D281*H281</f>
        <v>0</v>
      </c>
      <c r="J281" s="119" t="n">
        <f aca="false">D281*G281</f>
        <v>103.08</v>
      </c>
    </row>
    <row r="282" customFormat="false" ht="18.75" hidden="false" customHeight="false" outlineLevel="0" collapsed="false">
      <c r="A282" s="73" t="s">
        <v>343</v>
      </c>
      <c r="B282" s="74" t="s">
        <v>341</v>
      </c>
      <c r="C282" s="74" t="s">
        <v>342</v>
      </c>
      <c r="D282" s="75" t="n">
        <v>51.54</v>
      </c>
      <c r="E282" s="76" t="n">
        <v>12</v>
      </c>
      <c r="F282" s="77"/>
      <c r="G282" s="76" t="n">
        <v>12</v>
      </c>
      <c r="H282" s="76" t="n">
        <f aca="false">G282-E282</f>
        <v>0</v>
      </c>
      <c r="I282" s="78" t="n">
        <f aca="false">D282*H282</f>
        <v>0</v>
      </c>
      <c r="J282" s="119" t="n">
        <f aca="false">D282*G282</f>
        <v>618.48</v>
      </c>
    </row>
    <row r="283" customFormat="false" ht="18.75" hidden="false" customHeight="false" outlineLevel="0" collapsed="false">
      <c r="A283" s="73" t="s">
        <v>344</v>
      </c>
      <c r="B283" s="74" t="s">
        <v>341</v>
      </c>
      <c r="C283" s="74" t="s">
        <v>342</v>
      </c>
      <c r="D283" s="75" t="n">
        <v>51.54</v>
      </c>
      <c r="E283" s="76" t="n">
        <v>11</v>
      </c>
      <c r="F283" s="77"/>
      <c r="G283" s="76" t="n">
        <v>11</v>
      </c>
      <c r="H283" s="76" t="n">
        <f aca="false">G283-E283</f>
        <v>0</v>
      </c>
      <c r="I283" s="78" t="n">
        <f aca="false">D283*H283</f>
        <v>0</v>
      </c>
      <c r="J283" s="119" t="n">
        <f aca="false">D283*G283</f>
        <v>566.94</v>
      </c>
    </row>
    <row r="284" customFormat="false" ht="18.75" hidden="false" customHeight="false" outlineLevel="0" collapsed="false">
      <c r="A284" s="97" t="s">
        <v>345</v>
      </c>
      <c r="B284" s="98" t="s">
        <v>346</v>
      </c>
      <c r="C284" s="98" t="s">
        <v>342</v>
      </c>
      <c r="D284" s="99" t="n">
        <v>135.96</v>
      </c>
      <c r="E284" s="92" t="n">
        <v>10</v>
      </c>
      <c r="F284" s="35"/>
      <c r="G284" s="92" t="n">
        <v>10</v>
      </c>
      <c r="H284" s="76" t="n">
        <f aca="false">G284-E284</f>
        <v>0</v>
      </c>
      <c r="I284" s="78" t="n">
        <f aca="false">D284*H284</f>
        <v>0</v>
      </c>
      <c r="J284" s="119" t="n">
        <f aca="false">D284*G284</f>
        <v>1359.6</v>
      </c>
    </row>
    <row r="285" customFormat="false" ht="18.75" hidden="false" customHeight="false" outlineLevel="0" collapsed="false">
      <c r="A285" s="97" t="s">
        <v>347</v>
      </c>
      <c r="B285" s="98" t="s">
        <v>348</v>
      </c>
      <c r="C285" s="98" t="s">
        <v>349</v>
      </c>
      <c r="D285" s="99" t="n">
        <v>51.54</v>
      </c>
      <c r="E285" s="92" t="n">
        <v>4</v>
      </c>
      <c r="F285" s="35" t="n">
        <f aca="false">D285*E285</f>
        <v>206.16</v>
      </c>
      <c r="G285" s="92" t="n">
        <v>4</v>
      </c>
      <c r="H285" s="76" t="n">
        <f aca="false">G285-E285</f>
        <v>0</v>
      </c>
      <c r="I285" s="78" t="n">
        <f aca="false">D285*H285</f>
        <v>0</v>
      </c>
      <c r="J285" s="119" t="n">
        <f aca="false">D285*G285</f>
        <v>206.16</v>
      </c>
    </row>
    <row r="286" customFormat="false" ht="18.75" hidden="false" customHeight="false" outlineLevel="0" collapsed="false">
      <c r="A286" s="97" t="s">
        <v>350</v>
      </c>
      <c r="B286" s="98" t="s">
        <v>348</v>
      </c>
      <c r="C286" s="98" t="s">
        <v>349</v>
      </c>
      <c r="D286" s="99" t="n">
        <v>51.54</v>
      </c>
      <c r="E286" s="92" t="n">
        <v>0</v>
      </c>
      <c r="F286" s="35" t="n">
        <f aca="false">D286*E286</f>
        <v>0</v>
      </c>
      <c r="G286" s="92" t="n">
        <v>0</v>
      </c>
      <c r="H286" s="76" t="n">
        <f aca="false">G286-E286</f>
        <v>0</v>
      </c>
      <c r="I286" s="78" t="n">
        <f aca="false">D286*H286</f>
        <v>0</v>
      </c>
      <c r="J286" s="119" t="n">
        <f aca="false">D286*G286</f>
        <v>0</v>
      </c>
    </row>
    <row r="287" customFormat="false" ht="18.75" hidden="false" customHeight="false" outlineLevel="0" collapsed="false">
      <c r="A287" s="97" t="s">
        <v>351</v>
      </c>
      <c r="B287" s="98" t="s">
        <v>348</v>
      </c>
      <c r="C287" s="98" t="s">
        <v>349</v>
      </c>
      <c r="D287" s="99" t="n">
        <v>51.54</v>
      </c>
      <c r="E287" s="92" t="n">
        <v>6</v>
      </c>
      <c r="F287" s="35" t="n">
        <f aca="false">D287*E287</f>
        <v>309.24</v>
      </c>
      <c r="G287" s="92" t="n">
        <v>0</v>
      </c>
      <c r="H287" s="76" t="n">
        <f aca="false">G287-E287</f>
        <v>-6</v>
      </c>
      <c r="I287" s="78" t="n">
        <f aca="false">D287*H287</f>
        <v>-309.24</v>
      </c>
      <c r="J287" s="119" t="n">
        <f aca="false">D287*G287</f>
        <v>0</v>
      </c>
    </row>
    <row r="288" customFormat="false" ht="18.75" hidden="false" customHeight="false" outlineLevel="0" collapsed="false">
      <c r="A288" s="97" t="s">
        <v>352</v>
      </c>
      <c r="B288" s="98" t="s">
        <v>348</v>
      </c>
      <c r="C288" s="98" t="s">
        <v>349</v>
      </c>
      <c r="D288" s="99" t="n">
        <v>51.54</v>
      </c>
      <c r="E288" s="92" t="n">
        <v>0</v>
      </c>
      <c r="F288" s="35" t="n">
        <f aca="false">D288*E288</f>
        <v>0</v>
      </c>
      <c r="G288" s="92" t="n">
        <v>6</v>
      </c>
      <c r="H288" s="76" t="n">
        <f aca="false">G288-E288</f>
        <v>6</v>
      </c>
      <c r="I288" s="78" t="n">
        <f aca="false">D288*H288</f>
        <v>309.24</v>
      </c>
      <c r="J288" s="119" t="n">
        <f aca="false">D288*G288</f>
        <v>309.24</v>
      </c>
    </row>
    <row r="289" customFormat="false" ht="18.75" hidden="false" customHeight="false" outlineLevel="0" collapsed="false">
      <c r="A289" s="31" t="s">
        <v>353</v>
      </c>
      <c r="B289" s="72" t="s">
        <v>354</v>
      </c>
      <c r="C289" s="32" t="s">
        <v>15</v>
      </c>
      <c r="D289" s="33" t="n">
        <v>42.84</v>
      </c>
      <c r="E289" s="34" t="n">
        <v>0</v>
      </c>
      <c r="F289" s="35" t="n">
        <f aca="false">D289*E289</f>
        <v>0</v>
      </c>
      <c r="G289" s="34" t="n">
        <v>0</v>
      </c>
      <c r="H289" s="34" t="n">
        <f aca="false">G289-E289</f>
        <v>0</v>
      </c>
      <c r="I289" s="36" t="n">
        <f aca="false">D289*H289</f>
        <v>0</v>
      </c>
      <c r="J289" s="123" t="n">
        <f aca="false">D289*G289</f>
        <v>0</v>
      </c>
    </row>
    <row r="290" customFormat="false" ht="18.75" hidden="false" customHeight="false" outlineLevel="0" collapsed="false">
      <c r="A290" s="31" t="s">
        <v>355</v>
      </c>
      <c r="B290" s="72" t="s">
        <v>356</v>
      </c>
      <c r="C290" s="32" t="s">
        <v>15</v>
      </c>
      <c r="D290" s="33" t="n">
        <v>42.84</v>
      </c>
      <c r="E290" s="34" t="n">
        <v>7</v>
      </c>
      <c r="F290" s="35" t="n">
        <f aca="false">D290*E290</f>
        <v>299.88</v>
      </c>
      <c r="G290" s="34" t="n">
        <v>7</v>
      </c>
      <c r="H290" s="34" t="n">
        <f aca="false">G290-E290</f>
        <v>0</v>
      </c>
      <c r="I290" s="36" t="n">
        <f aca="false">D290*H290</f>
        <v>0</v>
      </c>
      <c r="J290" s="123" t="n">
        <f aca="false">D290*G290</f>
        <v>299.88</v>
      </c>
    </row>
    <row r="291" customFormat="false" ht="18.75" hidden="false" customHeight="false" outlineLevel="0" collapsed="false">
      <c r="A291" s="97"/>
      <c r="B291" s="98"/>
      <c r="C291" s="98"/>
      <c r="D291" s="99"/>
      <c r="E291" s="92"/>
      <c r="F291" s="35"/>
      <c r="G291" s="92"/>
      <c r="H291" s="76"/>
      <c r="I291" s="124"/>
      <c r="J291" s="119"/>
    </row>
    <row r="292" customFormat="false" ht="18.75" hidden="false" customHeight="false" outlineLevel="0" collapsed="false">
      <c r="A292" s="50" t="n">
        <v>423824</v>
      </c>
      <c r="B292" s="51" t="s">
        <v>357</v>
      </c>
      <c r="C292" s="51" t="s">
        <v>25</v>
      </c>
      <c r="D292" s="52" t="n">
        <v>87.48</v>
      </c>
      <c r="E292" s="53" t="n">
        <v>0</v>
      </c>
      <c r="F292" s="35" t="n">
        <f aca="false">D292*E292</f>
        <v>0</v>
      </c>
      <c r="G292" s="54" t="n">
        <v>0</v>
      </c>
      <c r="H292" s="54" t="n">
        <f aca="false">G292-E292</f>
        <v>0</v>
      </c>
      <c r="I292" s="55" t="n">
        <f aca="false">D292*H292</f>
        <v>0</v>
      </c>
      <c r="J292" s="129" t="n">
        <f aca="false">D292*G292</f>
        <v>0</v>
      </c>
    </row>
    <row r="293" customFormat="false" ht="18.75" hidden="false" customHeight="false" outlineLevel="0" collapsed="false">
      <c r="A293" s="50" t="n">
        <v>423825</v>
      </c>
      <c r="B293" s="51" t="s">
        <v>358</v>
      </c>
      <c r="C293" s="51" t="s">
        <v>25</v>
      </c>
      <c r="D293" s="52" t="n">
        <v>87.48</v>
      </c>
      <c r="E293" s="53" t="n">
        <v>0</v>
      </c>
      <c r="F293" s="35" t="n">
        <f aca="false">D293*E293</f>
        <v>0</v>
      </c>
      <c r="G293" s="54" t="n">
        <v>0</v>
      </c>
      <c r="H293" s="54" t="n">
        <f aca="false">G293-E293</f>
        <v>0</v>
      </c>
      <c r="I293" s="55" t="n">
        <f aca="false">D293*H293</f>
        <v>0</v>
      </c>
      <c r="J293" s="129" t="n">
        <f aca="false">D293*G293</f>
        <v>0</v>
      </c>
    </row>
    <row r="294" customFormat="false" ht="18.75" hidden="false" customHeight="false" outlineLevel="0" collapsed="false">
      <c r="A294" s="101" t="s">
        <v>359</v>
      </c>
      <c r="B294" s="102" t="s">
        <v>360</v>
      </c>
      <c r="C294" s="102" t="s">
        <v>23</v>
      </c>
      <c r="D294" s="103" t="n">
        <v>15.5</v>
      </c>
      <c r="E294" s="104" t="n">
        <v>16</v>
      </c>
      <c r="F294" s="105"/>
      <c r="G294" s="104" t="n">
        <v>15</v>
      </c>
      <c r="H294" s="104" t="n">
        <f aca="false">G294-E294</f>
        <v>-1</v>
      </c>
      <c r="I294" s="106" t="n">
        <f aca="false">D294*H294</f>
        <v>-15.5</v>
      </c>
      <c r="J294" s="126" t="n">
        <f aca="false">D294*G294</f>
        <v>232.5</v>
      </c>
    </row>
    <row r="295" customFormat="false" ht="18.75" hidden="false" customHeight="false" outlineLevel="0" collapsed="false">
      <c r="A295" s="97"/>
      <c r="B295" s="98"/>
      <c r="C295" s="98"/>
      <c r="D295" s="99" t="n">
        <v>0</v>
      </c>
      <c r="E295" s="92"/>
      <c r="F295" s="35" t="n">
        <f aca="false">D295*E295</f>
        <v>0</v>
      </c>
      <c r="G295" s="92"/>
      <c r="H295" s="76" t="n">
        <f aca="false">G295-E295</f>
        <v>0</v>
      </c>
      <c r="I295" s="78" t="n">
        <f aca="false">D295*H295</f>
        <v>0</v>
      </c>
      <c r="J295" s="119" t="n">
        <f aca="false">D295*G295</f>
        <v>0</v>
      </c>
    </row>
    <row r="296" customFormat="false" ht="18.75" hidden="false" customHeight="false" outlineLevel="0" collapsed="false">
      <c r="A296" s="73"/>
      <c r="B296" s="74"/>
      <c r="C296" s="74"/>
      <c r="D296" s="75"/>
      <c r="E296" s="76"/>
      <c r="F296" s="77"/>
      <c r="G296" s="76"/>
      <c r="H296" s="76"/>
      <c r="I296" s="78"/>
      <c r="J296" s="119" t="n">
        <f aca="false">D296*G296</f>
        <v>0</v>
      </c>
    </row>
    <row r="297" customFormat="false" ht="18.75" hidden="false" customHeight="false" outlineLevel="0" collapsed="false">
      <c r="A297" s="24" t="n">
        <v>504510</v>
      </c>
      <c r="B297" s="25" t="s">
        <v>361</v>
      </c>
      <c r="C297" s="25" t="s">
        <v>13</v>
      </c>
      <c r="D297" s="26" t="n">
        <v>31.02</v>
      </c>
      <c r="E297" s="27" t="n">
        <v>2</v>
      </c>
      <c r="F297" s="35" t="n">
        <f aca="false">D297*E297</f>
        <v>62.04</v>
      </c>
      <c r="G297" s="27" t="n">
        <v>2</v>
      </c>
      <c r="H297" s="27" t="n">
        <f aca="false">G297-E297</f>
        <v>0</v>
      </c>
      <c r="I297" s="29" t="n">
        <f aca="false">D297*H297</f>
        <v>0</v>
      </c>
      <c r="J297" s="30" t="n">
        <f aca="false">D297*G297</f>
        <v>62.04</v>
      </c>
    </row>
    <row r="298" customFormat="false" ht="18.75" hidden="false" customHeight="false" outlineLevel="0" collapsed="false">
      <c r="A298" s="24" t="n">
        <v>504520</v>
      </c>
      <c r="B298" s="25" t="s">
        <v>361</v>
      </c>
      <c r="C298" s="25" t="s">
        <v>13</v>
      </c>
      <c r="D298" s="26" t="n">
        <v>31.02</v>
      </c>
      <c r="E298" s="27" t="n">
        <v>20</v>
      </c>
      <c r="F298" s="35" t="n">
        <f aca="false">D298*E298</f>
        <v>620.4</v>
      </c>
      <c r="G298" s="27" t="n">
        <v>20</v>
      </c>
      <c r="H298" s="27" t="n">
        <f aca="false">G298-E298</f>
        <v>0</v>
      </c>
      <c r="I298" s="29" t="n">
        <f aca="false">D298*H298</f>
        <v>0</v>
      </c>
      <c r="J298" s="30" t="n">
        <f aca="false">D298*G298</f>
        <v>620.4</v>
      </c>
    </row>
    <row r="299" customFormat="false" ht="18.75" hidden="false" customHeight="false" outlineLevel="0" collapsed="false">
      <c r="A299" s="24" t="n">
        <v>504530</v>
      </c>
      <c r="B299" s="25" t="s">
        <v>361</v>
      </c>
      <c r="C299" s="25" t="s">
        <v>13</v>
      </c>
      <c r="D299" s="26" t="n">
        <v>31.02</v>
      </c>
      <c r="E299" s="27" t="n">
        <v>0</v>
      </c>
      <c r="F299" s="35" t="n">
        <f aca="false">D299*E299</f>
        <v>0</v>
      </c>
      <c r="G299" s="27" t="n">
        <v>0</v>
      </c>
      <c r="H299" s="27" t="n">
        <f aca="false">G299-E299</f>
        <v>0</v>
      </c>
      <c r="I299" s="29" t="n">
        <f aca="false">D299*H299</f>
        <v>0</v>
      </c>
      <c r="J299" s="30" t="n">
        <f aca="false">D299*G299</f>
        <v>0</v>
      </c>
    </row>
    <row r="300" customFormat="false" ht="19.5" hidden="false" customHeight="true" outlineLevel="0" collapsed="false">
      <c r="A300" s="73"/>
      <c r="B300" s="74"/>
      <c r="C300" s="74"/>
      <c r="D300" s="75"/>
      <c r="E300" s="76"/>
      <c r="F300" s="77"/>
      <c r="G300" s="76"/>
      <c r="H300" s="86" t="s">
        <v>5</v>
      </c>
      <c r="I300" s="87" t="n">
        <f aca="false">SUM(I275:I299)</f>
        <v>-15.5</v>
      </c>
      <c r="J300" s="119" t="n">
        <f aca="false">SUM(J275:J299)</f>
        <v>4547.76</v>
      </c>
      <c r="K300" s="89" t="n">
        <f aca="false">I300</f>
        <v>-15.5</v>
      </c>
      <c r="L300" s="89" t="n">
        <f aca="false">J300</f>
        <v>4547.76</v>
      </c>
    </row>
    <row r="301" customFormat="false" ht="19.5" hidden="false" customHeight="true" outlineLevel="0" collapsed="false">
      <c r="A301" s="8" t="s">
        <v>0</v>
      </c>
      <c r="B301" s="9" t="s">
        <v>1</v>
      </c>
      <c r="C301" s="9" t="s">
        <v>2</v>
      </c>
      <c r="D301" s="10" t="s">
        <v>3</v>
      </c>
      <c r="E301" s="11" t="s">
        <v>4</v>
      </c>
      <c r="F301" s="112" t="s">
        <v>5</v>
      </c>
      <c r="G301" s="11" t="s">
        <v>6</v>
      </c>
      <c r="H301" s="13" t="s">
        <v>7</v>
      </c>
      <c r="I301" s="14" t="s">
        <v>8</v>
      </c>
      <c r="J301" s="15" t="s">
        <v>9</v>
      </c>
    </row>
    <row r="302" customFormat="false" ht="18.75" hidden="false" customHeight="false" outlineLevel="0" collapsed="false">
      <c r="A302" s="97"/>
      <c r="B302" s="98"/>
      <c r="C302" s="98"/>
      <c r="D302" s="99"/>
      <c r="E302" s="130"/>
      <c r="F302" s="35"/>
      <c r="G302" s="92"/>
      <c r="H302" s="92"/>
      <c r="I302" s="124"/>
      <c r="J302" s="131"/>
    </row>
    <row r="303" customFormat="false" ht="17.25" hidden="false" customHeight="true" outlineLevel="0" collapsed="false">
      <c r="A303" s="132" t="s">
        <v>362</v>
      </c>
      <c r="B303" s="132"/>
      <c r="C303" s="132"/>
      <c r="D303" s="132"/>
      <c r="E303" s="132"/>
      <c r="F303" s="132"/>
      <c r="G303" s="92"/>
      <c r="H303" s="92"/>
      <c r="I303" s="124"/>
      <c r="J303" s="131"/>
    </row>
    <row r="304" customFormat="false" ht="18.75" hidden="false" customHeight="false" outlineLevel="0" collapsed="false">
      <c r="A304" s="97"/>
      <c r="B304" s="98"/>
      <c r="C304" s="98"/>
      <c r="D304" s="99"/>
      <c r="E304" s="92"/>
      <c r="F304" s="133"/>
      <c r="G304" s="92"/>
      <c r="H304" s="92"/>
      <c r="I304" s="124"/>
      <c r="J304" s="131"/>
    </row>
    <row r="305" customFormat="false" ht="18.75" hidden="false" customHeight="false" outlineLevel="0" collapsed="false">
      <c r="A305" s="38" t="s">
        <v>363</v>
      </c>
      <c r="B305" s="39" t="s">
        <v>364</v>
      </c>
      <c r="C305" s="39" t="s">
        <v>20</v>
      </c>
      <c r="D305" s="40" t="n">
        <v>2</v>
      </c>
      <c r="E305" s="41" t="n">
        <v>132</v>
      </c>
      <c r="F305" s="133" t="n">
        <f aca="false">D305*E305</f>
        <v>264</v>
      </c>
      <c r="G305" s="41" t="n">
        <v>159</v>
      </c>
      <c r="H305" s="41" t="n">
        <f aca="false">G305-E305</f>
        <v>27</v>
      </c>
      <c r="I305" s="42" t="n">
        <f aca="false">D305*H305</f>
        <v>54</v>
      </c>
      <c r="J305" s="134" t="n">
        <f aca="false">D305*G305</f>
        <v>318</v>
      </c>
    </row>
    <row r="306" customFormat="false" ht="18.75" hidden="false" customHeight="false" outlineLevel="0" collapsed="false">
      <c r="A306" s="38" t="s">
        <v>365</v>
      </c>
      <c r="B306" s="39" t="s">
        <v>366</v>
      </c>
      <c r="C306" s="39" t="s">
        <v>20</v>
      </c>
      <c r="D306" s="40" t="n">
        <v>4</v>
      </c>
      <c r="E306" s="41" t="n">
        <v>26</v>
      </c>
      <c r="F306" s="133" t="n">
        <f aca="false">D306*E306</f>
        <v>104</v>
      </c>
      <c r="G306" s="41" t="n">
        <v>14</v>
      </c>
      <c r="H306" s="41" t="n">
        <f aca="false">G306-E306</f>
        <v>-12</v>
      </c>
      <c r="I306" s="42" t="n">
        <f aca="false">D306*H306</f>
        <v>-48</v>
      </c>
      <c r="J306" s="134" t="n">
        <f aca="false">D306*G306</f>
        <v>56</v>
      </c>
    </row>
    <row r="307" customFormat="false" ht="18.75" hidden="false" customHeight="false" outlineLevel="0" collapsed="false">
      <c r="A307" s="73"/>
      <c r="B307" s="74"/>
      <c r="C307" s="74"/>
      <c r="D307" s="75"/>
      <c r="E307" s="76"/>
      <c r="F307" s="133"/>
      <c r="G307" s="92"/>
      <c r="H307" s="92"/>
      <c r="I307" s="124"/>
      <c r="J307" s="119" t="n">
        <f aca="false">D307*G307</f>
        <v>0</v>
      </c>
    </row>
    <row r="308" customFormat="false" ht="18.75" hidden="false" customHeight="false" outlineLevel="0" collapsed="false">
      <c r="A308" s="24" t="n">
        <v>380431</v>
      </c>
      <c r="B308" s="25" t="s">
        <v>367</v>
      </c>
      <c r="C308" s="25" t="s">
        <v>13</v>
      </c>
      <c r="D308" s="26" t="n">
        <v>12</v>
      </c>
      <c r="E308" s="27" t="n">
        <v>1</v>
      </c>
      <c r="F308" s="133" t="n">
        <f aca="false">D308*E308</f>
        <v>12</v>
      </c>
      <c r="G308" s="27" t="n">
        <v>1</v>
      </c>
      <c r="H308" s="27" t="n">
        <f aca="false">G308-E308</f>
        <v>0</v>
      </c>
      <c r="I308" s="29" t="n">
        <f aca="false">D308*H308</f>
        <v>0</v>
      </c>
      <c r="J308" s="30" t="n">
        <f aca="false">D308*G308</f>
        <v>12</v>
      </c>
    </row>
    <row r="309" customFormat="false" ht="18.75" hidden="false" customHeight="false" outlineLevel="0" collapsed="false">
      <c r="A309" s="24" t="n">
        <v>9505</v>
      </c>
      <c r="B309" s="25" t="s">
        <v>368</v>
      </c>
      <c r="C309" s="25" t="s">
        <v>13</v>
      </c>
      <c r="D309" s="26" t="n">
        <v>7.2</v>
      </c>
      <c r="E309" s="27" t="n">
        <v>24</v>
      </c>
      <c r="F309" s="133" t="n">
        <f aca="false">D309*E309</f>
        <v>172.8</v>
      </c>
      <c r="G309" s="27" t="n">
        <v>19</v>
      </c>
      <c r="H309" s="27" t="n">
        <f aca="false">G309-E309</f>
        <v>-5</v>
      </c>
      <c r="I309" s="29" t="n">
        <f aca="false">D309*H309</f>
        <v>-36</v>
      </c>
      <c r="J309" s="30" t="n">
        <f aca="false">D309*G309</f>
        <v>136.8</v>
      </c>
    </row>
    <row r="310" customFormat="false" ht="18.75" hidden="false" customHeight="false" outlineLevel="0" collapsed="false">
      <c r="A310" s="38" t="s">
        <v>369</v>
      </c>
      <c r="B310" s="39" t="s">
        <v>370</v>
      </c>
      <c r="C310" s="39" t="s">
        <v>20</v>
      </c>
      <c r="D310" s="40" t="n">
        <v>35</v>
      </c>
      <c r="E310" s="41" t="n">
        <v>19</v>
      </c>
      <c r="F310" s="133" t="n">
        <f aca="false">D310*E310</f>
        <v>665</v>
      </c>
      <c r="G310" s="41" t="n">
        <v>17</v>
      </c>
      <c r="H310" s="41" t="n">
        <f aca="false">G310-E310</f>
        <v>-2</v>
      </c>
      <c r="I310" s="42" t="n">
        <f aca="false">D310*H310</f>
        <v>-70</v>
      </c>
      <c r="J310" s="134" t="n">
        <f aca="false">D310*G310</f>
        <v>595</v>
      </c>
    </row>
    <row r="311" customFormat="false" ht="18.75" hidden="false" customHeight="false" outlineLevel="0" collapsed="false">
      <c r="A311" s="31" t="s">
        <v>371</v>
      </c>
      <c r="B311" s="32" t="s">
        <v>372</v>
      </c>
      <c r="C311" s="32" t="s">
        <v>15</v>
      </c>
      <c r="D311" s="33" t="n">
        <v>55</v>
      </c>
      <c r="E311" s="34" t="n">
        <v>3</v>
      </c>
      <c r="F311" s="135" t="n">
        <f aca="false">D311*E311</f>
        <v>165</v>
      </c>
      <c r="G311" s="34" t="n">
        <v>3</v>
      </c>
      <c r="H311" s="34" t="n">
        <f aca="false">G311-E311</f>
        <v>0</v>
      </c>
      <c r="I311" s="36" t="n">
        <f aca="false">D311*H311</f>
        <v>0</v>
      </c>
      <c r="J311" s="123" t="n">
        <f aca="false">D311*G311</f>
        <v>165</v>
      </c>
    </row>
    <row r="312" customFormat="false" ht="18.75" hidden="false" customHeight="false" outlineLevel="0" collapsed="false">
      <c r="A312" s="97" t="n">
        <v>15230200</v>
      </c>
      <c r="B312" s="98" t="s">
        <v>373</v>
      </c>
      <c r="C312" s="98" t="s">
        <v>374</v>
      </c>
      <c r="D312" s="99" t="n">
        <v>5</v>
      </c>
      <c r="E312" s="92" t="n">
        <v>21</v>
      </c>
      <c r="F312" s="133" t="n">
        <f aca="false">D312*E312</f>
        <v>105</v>
      </c>
      <c r="G312" s="92" t="n">
        <v>17</v>
      </c>
      <c r="H312" s="76" t="n">
        <f aca="false">G312-E312</f>
        <v>-4</v>
      </c>
      <c r="I312" s="78" t="n">
        <f aca="false">D312*H312</f>
        <v>-20</v>
      </c>
      <c r="J312" s="119" t="n">
        <f aca="false">D312*G312</f>
        <v>85</v>
      </c>
    </row>
    <row r="313" customFormat="false" ht="18.75" hidden="false" customHeight="false" outlineLevel="0" collapsed="false">
      <c r="A313" s="97" t="n">
        <v>15000485</v>
      </c>
      <c r="B313" s="98" t="s">
        <v>375</v>
      </c>
      <c r="C313" s="98" t="s">
        <v>374</v>
      </c>
      <c r="D313" s="99" t="n">
        <v>0.65</v>
      </c>
      <c r="E313" s="92" t="n">
        <v>410</v>
      </c>
      <c r="F313" s="133" t="n">
        <f aca="false">D313*E313</f>
        <v>266.5</v>
      </c>
      <c r="G313" s="92" t="n">
        <v>410</v>
      </c>
      <c r="H313" s="76" t="n">
        <f aca="false">G313-E313</f>
        <v>0</v>
      </c>
      <c r="I313" s="78" t="n">
        <f aca="false">D313*H313</f>
        <v>0</v>
      </c>
      <c r="J313" s="119" t="n">
        <f aca="false">D313*G313</f>
        <v>266.5</v>
      </c>
    </row>
    <row r="314" customFormat="false" ht="18.75" hidden="false" customHeight="false" outlineLevel="0" collapsed="false">
      <c r="A314" s="73"/>
      <c r="B314" s="74"/>
      <c r="C314" s="74"/>
      <c r="D314" s="75"/>
      <c r="F314" s="133"/>
      <c r="G314" s="92" t="n">
        <v>75</v>
      </c>
      <c r="H314" s="136" t="s">
        <v>376</v>
      </c>
      <c r="I314" s="124"/>
      <c r="J314" s="131"/>
    </row>
    <row r="315" customFormat="false" ht="18.75" hidden="false" customHeight="false" outlineLevel="0" collapsed="false">
      <c r="A315" s="73"/>
      <c r="B315" s="74" t="s">
        <v>377</v>
      </c>
      <c r="C315" s="74"/>
      <c r="D315" s="75"/>
      <c r="E315" s="76"/>
      <c r="F315" s="133"/>
      <c r="G315" s="92"/>
      <c r="H315" s="92"/>
      <c r="I315" s="124" t="n">
        <f aca="false">SUM(I305:I313)</f>
        <v>-120</v>
      </c>
      <c r="J315" s="131" t="n">
        <f aca="false">SUM(J305:J313)</f>
        <v>1634.3</v>
      </c>
    </row>
    <row r="316" customFormat="false" ht="18.75" hidden="false" customHeight="false" outlineLevel="0" collapsed="false">
      <c r="A316" s="73"/>
      <c r="B316" s="74"/>
      <c r="C316" s="74"/>
      <c r="D316" s="75"/>
      <c r="E316" s="76"/>
      <c r="F316" s="133"/>
      <c r="G316" s="92"/>
      <c r="H316" s="92"/>
      <c r="I316" s="124"/>
      <c r="J316" s="131"/>
    </row>
    <row r="317" customFormat="false" ht="18.75" hidden="false" customHeight="false" outlineLevel="0" collapsed="false">
      <c r="A317" s="73"/>
      <c r="B317" s="74"/>
      <c r="C317" s="74"/>
      <c r="D317" s="75"/>
      <c r="E317" s="76"/>
      <c r="F317" s="133"/>
      <c r="G317" s="92"/>
      <c r="H317" s="92"/>
      <c r="I317" s="124"/>
      <c r="J317" s="131"/>
    </row>
    <row r="318" customFormat="false" ht="18.75" hidden="false" customHeight="false" outlineLevel="0" collapsed="false">
      <c r="A318" s="73"/>
      <c r="B318" s="74" t="s">
        <v>378</v>
      </c>
      <c r="C318" s="74"/>
      <c r="D318" s="75"/>
      <c r="E318" s="76"/>
      <c r="F318" s="133"/>
      <c r="G318" s="92"/>
      <c r="H318" s="92"/>
      <c r="I318" s="87" t="n">
        <f aca="false">SUM(I293:I317)</f>
        <v>-271</v>
      </c>
      <c r="J318" s="131" t="n">
        <f aca="false">SUM(J27+J54+J81+J108+J135+J162+J190+J218+J246+J273+J300)</f>
        <v>107707.01</v>
      </c>
    </row>
    <row r="319" customFormat="false" ht="18.75" hidden="false" customHeight="false" outlineLevel="0" collapsed="false">
      <c r="A319" s="73"/>
      <c r="B319" s="74"/>
      <c r="C319" s="74"/>
      <c r="D319" s="75"/>
      <c r="E319" s="76"/>
      <c r="F319" s="133"/>
      <c r="G319" s="92"/>
      <c r="H319" s="92"/>
      <c r="I319" s="124"/>
      <c r="J319" s="131"/>
    </row>
    <row r="320" customFormat="false" ht="18.75" hidden="false" customHeight="false" outlineLevel="0" collapsed="false">
      <c r="A320" s="73"/>
      <c r="B320" s="74"/>
      <c r="C320" s="74"/>
      <c r="D320" s="75"/>
      <c r="E320" s="76"/>
      <c r="F320" s="133"/>
      <c r="G320" s="92"/>
      <c r="H320" s="92"/>
      <c r="I320" s="124"/>
      <c r="J320" s="131"/>
    </row>
    <row r="321" customFormat="false" ht="19.5" hidden="false" customHeight="true" outlineLevel="0" collapsed="false">
      <c r="A321" s="73"/>
      <c r="B321" s="74"/>
      <c r="C321" s="74"/>
      <c r="D321" s="75"/>
      <c r="E321" s="76"/>
      <c r="F321" s="133"/>
      <c r="G321" s="92"/>
      <c r="H321" s="92"/>
      <c r="I321" s="110"/>
      <c r="J321" s="131"/>
    </row>
    <row r="322" customFormat="false" ht="19.5" hidden="false" customHeight="true" outlineLevel="0" collapsed="false">
      <c r="A322" s="8" t="s">
        <v>0</v>
      </c>
      <c r="B322" s="9" t="s">
        <v>1</v>
      </c>
      <c r="C322" s="9" t="s">
        <v>2</v>
      </c>
      <c r="D322" s="10" t="s">
        <v>3</v>
      </c>
      <c r="E322" s="11" t="s">
        <v>4</v>
      </c>
      <c r="F322" s="112" t="s">
        <v>5</v>
      </c>
      <c r="G322" s="11" t="s">
        <v>6</v>
      </c>
      <c r="H322" s="13" t="s">
        <v>7</v>
      </c>
      <c r="I322" s="137" t="s">
        <v>8</v>
      </c>
      <c r="J322" s="15" t="s">
        <v>9</v>
      </c>
    </row>
    <row r="323" customFormat="false" ht="18.75" hidden="false" customHeight="false" outlineLevel="0" collapsed="false">
      <c r="A323" s="73"/>
      <c r="B323" s="74"/>
      <c r="C323" s="74"/>
      <c r="D323" s="75"/>
      <c r="E323" s="76"/>
      <c r="F323" s="133"/>
      <c r="G323" s="138"/>
      <c r="H323" s="92"/>
      <c r="I323" s="139"/>
      <c r="J323" s="131"/>
    </row>
    <row r="324" customFormat="false" ht="18.75" hidden="false" customHeight="false" outlineLevel="0" collapsed="false">
      <c r="A324" s="73"/>
      <c r="B324" s="74" t="s">
        <v>379</v>
      </c>
      <c r="C324" s="74"/>
      <c r="D324" s="75"/>
      <c r="E324" s="76"/>
      <c r="F324" s="133"/>
      <c r="G324" s="138"/>
      <c r="H324" s="92"/>
      <c r="I324" s="139"/>
      <c r="J324" s="131"/>
    </row>
    <row r="325" customFormat="false" ht="18.75" hidden="false" customHeight="false" outlineLevel="0" collapsed="false">
      <c r="A325" s="73"/>
      <c r="B325" s="74"/>
      <c r="C325" s="74"/>
      <c r="D325" s="75"/>
      <c r="E325" s="76"/>
      <c r="F325" s="133"/>
      <c r="G325" s="138"/>
      <c r="H325" s="92"/>
      <c r="I325" s="139"/>
      <c r="J325" s="131"/>
    </row>
    <row r="326" customFormat="false" ht="18.75" hidden="false" customHeight="false" outlineLevel="0" collapsed="false">
      <c r="A326" s="73"/>
      <c r="B326" s="74" t="s">
        <v>380</v>
      </c>
      <c r="C326" s="74"/>
      <c r="D326" s="75"/>
      <c r="E326" s="76"/>
      <c r="F326" s="133"/>
      <c r="G326" s="138"/>
      <c r="H326" s="92"/>
      <c r="I326" s="139"/>
      <c r="J326" s="131"/>
    </row>
    <row r="327" customFormat="false" ht="18.75" hidden="false" customHeight="false" outlineLevel="0" collapsed="false">
      <c r="A327" s="73"/>
      <c r="B327" s="74"/>
      <c r="C327" s="74"/>
      <c r="D327" s="75"/>
      <c r="E327" s="76"/>
      <c r="F327" s="133"/>
      <c r="G327" s="138"/>
      <c r="H327" s="92"/>
      <c r="I327" s="139"/>
      <c r="J327" s="131"/>
    </row>
    <row r="328" customFormat="false" ht="26.25" hidden="false" customHeight="true" outlineLevel="0" collapsed="false">
      <c r="A328" s="140" t="s">
        <v>381</v>
      </c>
      <c r="B328" s="141" t="s">
        <v>382</v>
      </c>
      <c r="C328" s="140" t="s">
        <v>30</v>
      </c>
      <c r="D328" s="142" t="n">
        <v>63.73</v>
      </c>
      <c r="E328" s="143" t="n">
        <v>3</v>
      </c>
      <c r="F328" s="144"/>
      <c r="G328" s="145" t="n">
        <v>3</v>
      </c>
      <c r="H328" s="146" t="n">
        <f aca="false">G328-E328</f>
        <v>0</v>
      </c>
      <c r="I328" s="70" t="n">
        <f aca="false">D328*H328</f>
        <v>0</v>
      </c>
      <c r="J328" s="120" t="n">
        <f aca="false">D328*G328</f>
        <v>191.19</v>
      </c>
    </row>
    <row r="329" customFormat="false" ht="22.5" hidden="false" customHeight="true" outlineLevel="0" collapsed="false">
      <c r="A329" s="147" t="s">
        <v>383</v>
      </c>
      <c r="B329" s="148" t="s">
        <v>384</v>
      </c>
      <c r="C329" s="147" t="s">
        <v>30</v>
      </c>
      <c r="D329" s="149" t="n">
        <v>26.16</v>
      </c>
      <c r="E329" s="150" t="n">
        <v>6</v>
      </c>
      <c r="F329" s="151"/>
      <c r="G329" s="152" t="n">
        <v>6</v>
      </c>
      <c r="H329" s="68" t="n">
        <f aca="false">G329-E329</f>
        <v>0</v>
      </c>
      <c r="I329" s="70" t="n">
        <f aca="false">D329*H329</f>
        <v>0</v>
      </c>
      <c r="J329" s="120" t="n">
        <f aca="false">D329*G329</f>
        <v>156.96</v>
      </c>
    </row>
    <row r="330" customFormat="false" ht="26.25" hidden="false" customHeight="true" outlineLevel="0" collapsed="false">
      <c r="A330" s="153" t="s">
        <v>385</v>
      </c>
      <c r="B330" s="154" t="s">
        <v>386</v>
      </c>
      <c r="C330" s="153" t="s">
        <v>30</v>
      </c>
      <c r="D330" s="155" t="n">
        <v>34.65</v>
      </c>
      <c r="E330" s="156" t="n">
        <v>12</v>
      </c>
      <c r="F330" s="151"/>
      <c r="G330" s="152" t="n">
        <v>12</v>
      </c>
      <c r="H330" s="68" t="n">
        <f aca="false">G330-E330</f>
        <v>0</v>
      </c>
      <c r="I330" s="70" t="n">
        <f aca="false">D330*H330</f>
        <v>0</v>
      </c>
      <c r="J330" s="120" t="n">
        <f aca="false">D330*G330</f>
        <v>415.8</v>
      </c>
    </row>
    <row r="331" customFormat="false" ht="26.25" hidden="false" customHeight="true" outlineLevel="0" collapsed="false">
      <c r="A331" s="153" t="s">
        <v>387</v>
      </c>
      <c r="B331" s="154" t="s">
        <v>388</v>
      </c>
      <c r="C331" s="153" t="s">
        <v>30</v>
      </c>
      <c r="D331" s="155" t="n">
        <v>34.65</v>
      </c>
      <c r="E331" s="156" t="n">
        <v>4</v>
      </c>
      <c r="F331" s="151"/>
      <c r="G331" s="152" t="n">
        <v>4</v>
      </c>
      <c r="H331" s="68" t="n">
        <f aca="false">G331-E331</f>
        <v>0</v>
      </c>
      <c r="I331" s="70" t="n">
        <f aca="false">D331*H331</f>
        <v>0</v>
      </c>
      <c r="J331" s="120" t="n">
        <f aca="false">D331*G331</f>
        <v>138.6</v>
      </c>
    </row>
    <row r="332" customFormat="false" ht="17.25" hidden="false" customHeight="true" outlineLevel="0" collapsed="false">
      <c r="A332" s="153" t="s">
        <v>389</v>
      </c>
      <c r="B332" s="154" t="s">
        <v>390</v>
      </c>
      <c r="C332" s="153" t="s">
        <v>30</v>
      </c>
      <c r="D332" s="155" t="n">
        <v>46.92</v>
      </c>
      <c r="E332" s="156" t="n">
        <v>19</v>
      </c>
      <c r="F332" s="151"/>
      <c r="G332" s="152" t="n">
        <v>19</v>
      </c>
      <c r="H332" s="68" t="n">
        <f aca="false">G332-E332</f>
        <v>0</v>
      </c>
      <c r="I332" s="70" t="n">
        <f aca="false">D332*H332</f>
        <v>0</v>
      </c>
      <c r="J332" s="120" t="n">
        <f aca="false">D332*G332</f>
        <v>891.48</v>
      </c>
    </row>
    <row r="333" customFormat="false" ht="26.25" hidden="false" customHeight="true" outlineLevel="0" collapsed="false">
      <c r="A333" s="153" t="s">
        <v>391</v>
      </c>
      <c r="B333" s="154" t="s">
        <v>392</v>
      </c>
      <c r="C333" s="153" t="s">
        <v>30</v>
      </c>
      <c r="D333" s="155" t="n">
        <v>46.92</v>
      </c>
      <c r="E333" s="156" t="n">
        <v>3</v>
      </c>
      <c r="F333" s="151"/>
      <c r="G333" s="152" t="n">
        <v>3</v>
      </c>
      <c r="H333" s="68" t="n">
        <f aca="false">G333-E333</f>
        <v>0</v>
      </c>
      <c r="I333" s="70" t="n">
        <f aca="false">D333*H333</f>
        <v>0</v>
      </c>
      <c r="J333" s="120" t="n">
        <f aca="false">D333*G333</f>
        <v>140.76</v>
      </c>
    </row>
    <row r="334" customFormat="false" ht="18.75" hidden="false" customHeight="false" outlineLevel="0" collapsed="false">
      <c r="A334" s="73"/>
      <c r="B334" s="74"/>
      <c r="C334" s="74"/>
      <c r="D334" s="75"/>
      <c r="E334" s="76"/>
      <c r="F334" s="133"/>
      <c r="G334" s="92"/>
      <c r="H334" s="92" t="s">
        <v>5</v>
      </c>
      <c r="I334" s="124" t="n">
        <f aca="false">SUM(I328:I333)</f>
        <v>0</v>
      </c>
      <c r="J334" s="131" t="n">
        <f aca="false">SUM(J328:J333)</f>
        <v>1934.79</v>
      </c>
      <c r="K334" s="89" t="n">
        <f aca="false">I334</f>
        <v>0</v>
      </c>
      <c r="L334" s="89" t="n">
        <f aca="false">J334</f>
        <v>1934.79</v>
      </c>
    </row>
    <row r="335" customFormat="false" ht="18.75" hidden="false" customHeight="false" outlineLevel="0" collapsed="false">
      <c r="A335" s="73"/>
      <c r="B335" s="74" t="s">
        <v>393</v>
      </c>
      <c r="C335" s="74"/>
      <c r="D335" s="75"/>
      <c r="E335" s="76"/>
      <c r="F335" s="133"/>
      <c r="G335" s="92"/>
      <c r="H335" s="92"/>
      <c r="I335" s="124"/>
      <c r="J335" s="131"/>
    </row>
    <row r="336" customFormat="false" ht="18.75" hidden="false" customHeight="false" outlineLevel="0" collapsed="false">
      <c r="A336" s="73"/>
      <c r="B336" s="74"/>
      <c r="C336" s="74"/>
      <c r="D336" s="75"/>
      <c r="E336" s="76"/>
      <c r="F336" s="133"/>
      <c r="G336" s="92"/>
      <c r="H336" s="92"/>
      <c r="I336" s="124"/>
      <c r="J336" s="131"/>
    </row>
    <row r="337" customFormat="false" ht="26.25" hidden="false" customHeight="true" outlineLevel="0" collapsed="false">
      <c r="A337" s="157" t="s">
        <v>394</v>
      </c>
      <c r="B337" s="157" t="s">
        <v>395</v>
      </c>
      <c r="C337" s="158" t="s">
        <v>265</v>
      </c>
      <c r="D337" s="159" t="n">
        <v>20.71</v>
      </c>
      <c r="E337" s="160" t="n">
        <v>2</v>
      </c>
      <c r="F337" s="161"/>
      <c r="G337" s="160" t="n">
        <v>2</v>
      </c>
      <c r="H337" s="27" t="n">
        <f aca="false">G337-E337</f>
        <v>0</v>
      </c>
      <c r="I337" s="29" t="n">
        <f aca="false">D337*H337</f>
        <v>0</v>
      </c>
      <c r="J337" s="30" t="n">
        <f aca="false">D337*G337</f>
        <v>41.42</v>
      </c>
    </row>
    <row r="338" customFormat="false" ht="26.25" hidden="false" customHeight="true" outlineLevel="0" collapsed="false">
      <c r="A338" s="157" t="s">
        <v>396</v>
      </c>
      <c r="B338" s="157" t="s">
        <v>397</v>
      </c>
      <c r="C338" s="158" t="s">
        <v>265</v>
      </c>
      <c r="D338" s="159" t="n">
        <v>46.92</v>
      </c>
      <c r="E338" s="160" t="n">
        <v>6</v>
      </c>
      <c r="F338" s="161"/>
      <c r="G338" s="160" t="n">
        <v>6</v>
      </c>
      <c r="H338" s="27" t="n">
        <f aca="false">G338-E338</f>
        <v>0</v>
      </c>
      <c r="I338" s="29" t="n">
        <f aca="false">D338*H338</f>
        <v>0</v>
      </c>
      <c r="J338" s="30" t="n">
        <f aca="false">D338*G338</f>
        <v>281.52</v>
      </c>
    </row>
    <row r="339" customFormat="false" ht="26.25" hidden="false" customHeight="true" outlineLevel="0" collapsed="false">
      <c r="A339" s="157" t="s">
        <v>398</v>
      </c>
      <c r="B339" s="157" t="s">
        <v>399</v>
      </c>
      <c r="C339" s="158" t="s">
        <v>265</v>
      </c>
      <c r="D339" s="159" t="n">
        <v>146.37</v>
      </c>
      <c r="E339" s="160" t="n">
        <v>4</v>
      </c>
      <c r="F339" s="161"/>
      <c r="G339" s="160" t="n">
        <v>4</v>
      </c>
      <c r="H339" s="27" t="n">
        <f aca="false">G339-E339</f>
        <v>0</v>
      </c>
      <c r="I339" s="29" t="n">
        <f aca="false">D339*H339</f>
        <v>0</v>
      </c>
      <c r="J339" s="30" t="n">
        <f aca="false">D339*G339</f>
        <v>585.48</v>
      </c>
    </row>
    <row r="340" customFormat="false" ht="26.25" hidden="false" customHeight="true" outlineLevel="0" collapsed="false">
      <c r="A340" s="157" t="s">
        <v>400</v>
      </c>
      <c r="B340" s="157" t="s">
        <v>401</v>
      </c>
      <c r="C340" s="158" t="s">
        <v>265</v>
      </c>
      <c r="D340" s="159" t="n">
        <v>146.37</v>
      </c>
      <c r="E340" s="160" t="n">
        <v>12</v>
      </c>
      <c r="F340" s="161"/>
      <c r="G340" s="160" t="n">
        <v>14</v>
      </c>
      <c r="H340" s="27" t="n">
        <f aca="false">G340-E340</f>
        <v>2</v>
      </c>
      <c r="I340" s="29" t="n">
        <f aca="false">D340*H340</f>
        <v>292.74</v>
      </c>
      <c r="J340" s="30" t="n">
        <f aca="false">D340*G340</f>
        <v>2049.18</v>
      </c>
    </row>
    <row r="341" customFormat="false" ht="26.25" hidden="false" customHeight="true" outlineLevel="0" collapsed="false">
      <c r="A341" s="157" t="s">
        <v>402</v>
      </c>
      <c r="B341" s="157" t="s">
        <v>403</v>
      </c>
      <c r="C341" s="158" t="s">
        <v>265</v>
      </c>
      <c r="D341" s="159" t="n">
        <v>146.37</v>
      </c>
      <c r="E341" s="160" t="n">
        <v>2</v>
      </c>
      <c r="F341" s="161"/>
      <c r="G341" s="160" t="n">
        <v>2</v>
      </c>
      <c r="H341" s="27" t="n">
        <f aca="false">G341-E341</f>
        <v>0</v>
      </c>
      <c r="I341" s="29" t="n">
        <f aca="false">D341*H341</f>
        <v>0</v>
      </c>
      <c r="J341" s="30" t="n">
        <f aca="false">D341*G341</f>
        <v>292.74</v>
      </c>
    </row>
    <row r="342" customFormat="false" ht="26.25" hidden="false" customHeight="true" outlineLevel="0" collapsed="false">
      <c r="A342" s="157" t="s">
        <v>404</v>
      </c>
      <c r="B342" s="157" t="s">
        <v>405</v>
      </c>
      <c r="C342" s="158" t="s">
        <v>265</v>
      </c>
      <c r="D342" s="159" t="n">
        <v>146.37</v>
      </c>
      <c r="E342" s="160" t="n">
        <v>2</v>
      </c>
      <c r="F342" s="161"/>
      <c r="G342" s="160" t="n">
        <v>2</v>
      </c>
      <c r="H342" s="27" t="n">
        <f aca="false">G342-E342</f>
        <v>0</v>
      </c>
      <c r="I342" s="29" t="n">
        <f aca="false">D342*H342</f>
        <v>0</v>
      </c>
      <c r="J342" s="30" t="n">
        <f aca="false">D342*G342</f>
        <v>292.74</v>
      </c>
    </row>
    <row r="343" customFormat="false" ht="26.25" hidden="false" customHeight="true" outlineLevel="0" collapsed="false">
      <c r="A343" s="157" t="s">
        <v>406</v>
      </c>
      <c r="B343" s="157" t="s">
        <v>407</v>
      </c>
      <c r="C343" s="158" t="s">
        <v>265</v>
      </c>
      <c r="D343" s="159" t="n">
        <v>52.32</v>
      </c>
      <c r="E343" s="160" t="n">
        <v>6</v>
      </c>
      <c r="F343" s="161"/>
      <c r="G343" s="160" t="n">
        <v>10</v>
      </c>
      <c r="H343" s="27" t="n">
        <f aca="false">G343-E343</f>
        <v>4</v>
      </c>
      <c r="I343" s="29" t="n">
        <f aca="false">D343*H343</f>
        <v>209.28</v>
      </c>
      <c r="J343" s="30" t="n">
        <f aca="false">D343*G343</f>
        <v>523.2</v>
      </c>
    </row>
    <row r="344" customFormat="false" ht="26.25" hidden="false" customHeight="true" outlineLevel="0" collapsed="false">
      <c r="A344" s="157" t="s">
        <v>408</v>
      </c>
      <c r="B344" s="157" t="s">
        <v>409</v>
      </c>
      <c r="C344" s="158" t="s">
        <v>265</v>
      </c>
      <c r="D344" s="159" t="n">
        <v>52.32</v>
      </c>
      <c r="E344" s="160" t="n">
        <v>6</v>
      </c>
      <c r="F344" s="161"/>
      <c r="G344" s="160" t="n">
        <v>6</v>
      </c>
      <c r="H344" s="27" t="n">
        <f aca="false">G344-E344</f>
        <v>0</v>
      </c>
      <c r="I344" s="29" t="n">
        <f aca="false">D344*H344</f>
        <v>0</v>
      </c>
      <c r="J344" s="30" t="n">
        <f aca="false">D344*G344</f>
        <v>313.92</v>
      </c>
    </row>
    <row r="345" customFormat="false" ht="26.25" hidden="false" customHeight="true" outlineLevel="0" collapsed="false">
      <c r="A345" s="157" t="s">
        <v>410</v>
      </c>
      <c r="B345" s="157" t="s">
        <v>411</v>
      </c>
      <c r="C345" s="158" t="s">
        <v>265</v>
      </c>
      <c r="D345" s="159" t="n">
        <v>52.32</v>
      </c>
      <c r="E345" s="160" t="n">
        <v>1</v>
      </c>
      <c r="F345" s="161"/>
      <c r="G345" s="160" t="n">
        <v>1</v>
      </c>
      <c r="H345" s="27" t="n">
        <f aca="false">G345-E345</f>
        <v>0</v>
      </c>
      <c r="I345" s="29" t="n">
        <f aca="false">D345*H345</f>
        <v>0</v>
      </c>
      <c r="J345" s="30" t="n">
        <f aca="false">D345*G345</f>
        <v>52.32</v>
      </c>
    </row>
    <row r="346" customFormat="false" ht="26.25" hidden="false" customHeight="true" outlineLevel="0" collapsed="false">
      <c r="A346" s="157" t="s">
        <v>412</v>
      </c>
      <c r="B346" s="157" t="s">
        <v>413</v>
      </c>
      <c r="C346" s="158" t="s">
        <v>265</v>
      </c>
      <c r="D346" s="159" t="n">
        <v>140.22</v>
      </c>
      <c r="E346" s="160" t="n">
        <v>3</v>
      </c>
      <c r="F346" s="161"/>
      <c r="G346" s="160" t="n">
        <v>3</v>
      </c>
      <c r="H346" s="27" t="n">
        <f aca="false">G346-E346</f>
        <v>0</v>
      </c>
      <c r="I346" s="29" t="n">
        <f aca="false">D346*H346</f>
        <v>0</v>
      </c>
      <c r="J346" s="30" t="n">
        <f aca="false">D346*G346</f>
        <v>420.66</v>
      </c>
    </row>
    <row r="347" customFormat="false" ht="26.25" hidden="false" customHeight="true" outlineLevel="0" collapsed="false">
      <c r="A347" s="157" t="s">
        <v>414</v>
      </c>
      <c r="B347" s="157" t="s">
        <v>415</v>
      </c>
      <c r="C347" s="158" t="s">
        <v>265</v>
      </c>
      <c r="D347" s="159" t="n">
        <v>90.27</v>
      </c>
      <c r="E347" s="160" t="n">
        <v>4</v>
      </c>
      <c r="F347" s="161"/>
      <c r="G347" s="160" t="n">
        <v>4</v>
      </c>
      <c r="H347" s="27" t="n">
        <f aca="false">G347-E347</f>
        <v>0</v>
      </c>
      <c r="I347" s="29" t="n">
        <f aca="false">D347*H347</f>
        <v>0</v>
      </c>
      <c r="J347" s="30" t="n">
        <f aca="false">D347*G347</f>
        <v>361.08</v>
      </c>
    </row>
    <row r="348" customFormat="false" ht="26.25" hidden="false" customHeight="true" outlineLevel="0" collapsed="false">
      <c r="A348" s="157" t="s">
        <v>416</v>
      </c>
      <c r="B348" s="157" t="s">
        <v>417</v>
      </c>
      <c r="C348" s="158" t="s">
        <v>265</v>
      </c>
      <c r="D348" s="159" t="n">
        <v>90.27</v>
      </c>
      <c r="E348" s="160" t="n">
        <v>9</v>
      </c>
      <c r="F348" s="161"/>
      <c r="G348" s="160" t="n">
        <v>9</v>
      </c>
      <c r="H348" s="27" t="n">
        <f aca="false">G348-E348</f>
        <v>0</v>
      </c>
      <c r="I348" s="29" t="n">
        <f aca="false">D348*H348</f>
        <v>0</v>
      </c>
      <c r="J348" s="30" t="n">
        <f aca="false">D348*G348</f>
        <v>812.43</v>
      </c>
    </row>
    <row r="349" customFormat="false" ht="26.25" hidden="false" customHeight="true" outlineLevel="0" collapsed="false">
      <c r="A349" s="157" t="s">
        <v>418</v>
      </c>
      <c r="B349" s="157" t="s">
        <v>419</v>
      </c>
      <c r="C349" s="158" t="s">
        <v>265</v>
      </c>
      <c r="D349" s="159" t="n">
        <v>90.27</v>
      </c>
      <c r="E349" s="160" t="n">
        <v>6</v>
      </c>
      <c r="F349" s="161"/>
      <c r="G349" s="160" t="n">
        <v>6</v>
      </c>
      <c r="H349" s="27" t="n">
        <f aca="false">G349-E349</f>
        <v>0</v>
      </c>
      <c r="I349" s="29" t="n">
        <f aca="false">D349*H349</f>
        <v>0</v>
      </c>
      <c r="J349" s="30" t="n">
        <f aca="false">D349*G349</f>
        <v>541.62</v>
      </c>
    </row>
    <row r="350" customFormat="false" ht="26.25" hidden="false" customHeight="true" outlineLevel="0" collapsed="false">
      <c r="A350" s="157" t="s">
        <v>420</v>
      </c>
      <c r="B350" s="157" t="s">
        <v>421</v>
      </c>
      <c r="C350" s="158" t="s">
        <v>265</v>
      </c>
      <c r="D350" s="159" t="n">
        <v>90.27</v>
      </c>
      <c r="E350" s="160" t="n">
        <v>9</v>
      </c>
      <c r="F350" s="161"/>
      <c r="G350" s="160" t="n">
        <v>9</v>
      </c>
      <c r="H350" s="27" t="n">
        <f aca="false">G350-E350</f>
        <v>0</v>
      </c>
      <c r="I350" s="29" t="n">
        <f aca="false">D350*H350</f>
        <v>0</v>
      </c>
      <c r="J350" s="30" t="n">
        <f aca="false">D350*G350</f>
        <v>812.43</v>
      </c>
    </row>
    <row r="351" customFormat="false" ht="26.25" hidden="false" customHeight="true" outlineLevel="0" collapsed="false">
      <c r="A351" s="157" t="s">
        <v>422</v>
      </c>
      <c r="B351" s="157" t="s">
        <v>423</v>
      </c>
      <c r="C351" s="158" t="s">
        <v>265</v>
      </c>
      <c r="D351" s="159" t="n">
        <v>90.27</v>
      </c>
      <c r="E351" s="160" t="n">
        <v>6</v>
      </c>
      <c r="F351" s="161"/>
      <c r="G351" s="160" t="n">
        <v>6</v>
      </c>
      <c r="H351" s="27" t="n">
        <f aca="false">G351-E351</f>
        <v>0</v>
      </c>
      <c r="I351" s="29" t="n">
        <f aca="false">D351*H351</f>
        <v>0</v>
      </c>
      <c r="J351" s="30" t="n">
        <f aca="false">D351*G351</f>
        <v>541.62</v>
      </c>
    </row>
    <row r="352" customFormat="false" ht="26.25" hidden="false" customHeight="true" outlineLevel="0" collapsed="false">
      <c r="A352" s="157" t="s">
        <v>424</v>
      </c>
      <c r="B352" s="157" t="s">
        <v>425</v>
      </c>
      <c r="C352" s="158" t="s">
        <v>265</v>
      </c>
      <c r="D352" s="159" t="n">
        <v>111.27</v>
      </c>
      <c r="E352" s="160" t="n">
        <v>4</v>
      </c>
      <c r="F352" s="161"/>
      <c r="G352" s="160" t="n">
        <v>4</v>
      </c>
      <c r="H352" s="27" t="n">
        <f aca="false">G352-E352</f>
        <v>0</v>
      </c>
      <c r="I352" s="29" t="n">
        <f aca="false">D352*H352</f>
        <v>0</v>
      </c>
      <c r="J352" s="30" t="n">
        <f aca="false">D352*G352</f>
        <v>445.08</v>
      </c>
    </row>
    <row r="353" customFormat="false" ht="26.25" hidden="false" customHeight="true" outlineLevel="0" collapsed="false">
      <c r="A353" s="157" t="s">
        <v>426</v>
      </c>
      <c r="B353" s="157" t="s">
        <v>427</v>
      </c>
      <c r="C353" s="158" t="s">
        <v>265</v>
      </c>
      <c r="D353" s="159" t="n">
        <v>53.07</v>
      </c>
      <c r="E353" s="160" t="n">
        <v>9</v>
      </c>
      <c r="F353" s="161"/>
      <c r="G353" s="160" t="n">
        <v>9</v>
      </c>
      <c r="H353" s="27" t="n">
        <f aca="false">G353-E353</f>
        <v>0</v>
      </c>
      <c r="I353" s="29" t="n">
        <f aca="false">D353*H353</f>
        <v>0</v>
      </c>
      <c r="J353" s="30" t="n">
        <f aca="false">D353*G353</f>
        <v>477.63</v>
      </c>
    </row>
    <row r="354" customFormat="false" ht="26.25" hidden="false" customHeight="true" outlineLevel="0" collapsed="false">
      <c r="A354" s="157" t="s">
        <v>428</v>
      </c>
      <c r="B354" s="157" t="s">
        <v>429</v>
      </c>
      <c r="C354" s="158" t="s">
        <v>265</v>
      </c>
      <c r="D354" s="159" t="n">
        <v>53.07</v>
      </c>
      <c r="E354" s="160" t="n">
        <v>34</v>
      </c>
      <c r="F354" s="161"/>
      <c r="G354" s="160" t="n">
        <v>34</v>
      </c>
      <c r="H354" s="27" t="n">
        <f aca="false">G354-E354</f>
        <v>0</v>
      </c>
      <c r="I354" s="29" t="n">
        <f aca="false">D354*H354</f>
        <v>0</v>
      </c>
      <c r="J354" s="30" t="n">
        <f aca="false">D354*G354</f>
        <v>1804.38</v>
      </c>
    </row>
    <row r="355" customFormat="false" ht="26.25" hidden="false" customHeight="true" outlineLevel="0" collapsed="false">
      <c r="A355" s="157" t="s">
        <v>430</v>
      </c>
      <c r="B355" s="157" t="s">
        <v>431</v>
      </c>
      <c r="C355" s="158" t="s">
        <v>265</v>
      </c>
      <c r="D355" s="159" t="n">
        <v>53.07</v>
      </c>
      <c r="E355" s="160" t="n">
        <v>1</v>
      </c>
      <c r="F355" s="161"/>
      <c r="G355" s="160" t="n">
        <v>1</v>
      </c>
      <c r="H355" s="27" t="n">
        <f aca="false">G355-E355</f>
        <v>0</v>
      </c>
      <c r="I355" s="29" t="n">
        <f aca="false">D355*H355</f>
        <v>0</v>
      </c>
      <c r="J355" s="30" t="n">
        <f aca="false">D355*G355</f>
        <v>53.07</v>
      </c>
    </row>
    <row r="356" customFormat="false" ht="26.25" hidden="false" customHeight="true" outlineLevel="0" collapsed="false">
      <c r="A356" s="157" t="s">
        <v>432</v>
      </c>
      <c r="B356" s="157" t="s">
        <v>433</v>
      </c>
      <c r="C356" s="158" t="s">
        <v>265</v>
      </c>
      <c r="D356" s="159" t="n">
        <v>111.27</v>
      </c>
      <c r="E356" s="160" t="n">
        <v>11</v>
      </c>
      <c r="F356" s="161"/>
      <c r="G356" s="160" t="n">
        <v>11</v>
      </c>
      <c r="H356" s="27" t="n">
        <f aca="false">G356-E356</f>
        <v>0</v>
      </c>
      <c r="I356" s="29" t="n">
        <f aca="false">D356*H356</f>
        <v>0</v>
      </c>
      <c r="J356" s="30" t="n">
        <f aca="false">D356*G356</f>
        <v>1223.97</v>
      </c>
    </row>
    <row r="357" customFormat="false" ht="26.25" hidden="false" customHeight="true" outlineLevel="0" collapsed="false">
      <c r="A357" s="157" t="s">
        <v>434</v>
      </c>
      <c r="B357" s="157" t="s">
        <v>435</v>
      </c>
      <c r="C357" s="158" t="s">
        <v>265</v>
      </c>
      <c r="D357" s="159" t="n">
        <v>111.27</v>
      </c>
      <c r="E357" s="160" t="n">
        <v>2</v>
      </c>
      <c r="F357" s="161"/>
      <c r="G357" s="160" t="n">
        <v>2</v>
      </c>
      <c r="H357" s="27" t="n">
        <f aca="false">G357-E357</f>
        <v>0</v>
      </c>
      <c r="I357" s="29" t="n">
        <f aca="false">D357*H357</f>
        <v>0</v>
      </c>
      <c r="J357" s="30" t="n">
        <f aca="false">D357*G357</f>
        <v>222.54</v>
      </c>
    </row>
    <row r="358" customFormat="false" ht="26.25" hidden="false" customHeight="true" outlineLevel="0" collapsed="false">
      <c r="A358" s="157" t="s">
        <v>436</v>
      </c>
      <c r="B358" s="157" t="s">
        <v>437</v>
      </c>
      <c r="C358" s="158" t="s">
        <v>265</v>
      </c>
      <c r="D358" s="159" t="n">
        <v>105.12</v>
      </c>
      <c r="E358" s="160" t="n">
        <v>2</v>
      </c>
      <c r="F358" s="161"/>
      <c r="G358" s="160" t="n">
        <v>2</v>
      </c>
      <c r="H358" s="27" t="n">
        <f aca="false">G358-E358</f>
        <v>0</v>
      </c>
      <c r="I358" s="29" t="n">
        <f aca="false">D358*H358</f>
        <v>0</v>
      </c>
      <c r="J358" s="30" t="n">
        <f aca="false">D358*G358</f>
        <v>210.24</v>
      </c>
    </row>
    <row r="359" customFormat="false" ht="26.25" hidden="false" customHeight="true" outlineLevel="0" collapsed="false">
      <c r="A359" s="157" t="s">
        <v>438</v>
      </c>
      <c r="B359" s="157" t="s">
        <v>439</v>
      </c>
      <c r="C359" s="158" t="s">
        <v>265</v>
      </c>
      <c r="D359" s="159" t="n">
        <v>63.73</v>
      </c>
      <c r="E359" s="160" t="n">
        <v>3</v>
      </c>
      <c r="F359" s="161"/>
      <c r="G359" s="160" t="n">
        <v>3</v>
      </c>
      <c r="H359" s="27" t="n">
        <f aca="false">G359-E359</f>
        <v>0</v>
      </c>
      <c r="I359" s="29" t="n">
        <f aca="false">D359*H359</f>
        <v>0</v>
      </c>
      <c r="J359" s="30" t="n">
        <f aca="false">D359*G359</f>
        <v>191.19</v>
      </c>
    </row>
    <row r="360" customFormat="false" ht="39" hidden="false" customHeight="true" outlineLevel="0" collapsed="false">
      <c r="A360" s="157" t="s">
        <v>440</v>
      </c>
      <c r="B360" s="157" t="s">
        <v>441</v>
      </c>
      <c r="C360" s="158" t="s">
        <v>265</v>
      </c>
      <c r="D360" s="159" t="n">
        <v>140.22</v>
      </c>
      <c r="E360" s="160" t="n">
        <v>2</v>
      </c>
      <c r="F360" s="161"/>
      <c r="G360" s="160" t="n">
        <v>2</v>
      </c>
      <c r="H360" s="27" t="n">
        <f aca="false">G360-E360</f>
        <v>0</v>
      </c>
      <c r="I360" s="29" t="n">
        <f aca="false">D360*H360</f>
        <v>0</v>
      </c>
      <c r="J360" s="30" t="n">
        <f aca="false">D360*G360</f>
        <v>280.44</v>
      </c>
    </row>
    <row r="361" customFormat="false" ht="26.25" hidden="false" customHeight="true" outlineLevel="0" collapsed="false">
      <c r="A361" s="157" t="s">
        <v>442</v>
      </c>
      <c r="B361" s="157" t="s">
        <v>443</v>
      </c>
      <c r="C361" s="158" t="s">
        <v>265</v>
      </c>
      <c r="D361" s="159" t="n">
        <v>47.07</v>
      </c>
      <c r="E361" s="160" t="n">
        <v>6</v>
      </c>
      <c r="F361" s="161"/>
      <c r="G361" s="160" t="n">
        <v>6</v>
      </c>
      <c r="H361" s="27" t="n">
        <f aca="false">G361-E361</f>
        <v>0</v>
      </c>
      <c r="I361" s="29" t="n">
        <f aca="false">D361*H361</f>
        <v>0</v>
      </c>
      <c r="J361" s="30" t="n">
        <f aca="false">D361*G361</f>
        <v>282.42</v>
      </c>
    </row>
    <row r="362" customFormat="false" ht="26.25" hidden="false" customHeight="true" outlineLevel="0" collapsed="false">
      <c r="A362" s="157" t="s">
        <v>444</v>
      </c>
      <c r="B362" s="157" t="s">
        <v>445</v>
      </c>
      <c r="C362" s="158" t="s">
        <v>265</v>
      </c>
      <c r="D362" s="159" t="n">
        <v>47.07</v>
      </c>
      <c r="E362" s="160" t="n">
        <v>6</v>
      </c>
      <c r="F362" s="161"/>
      <c r="G362" s="160" t="n">
        <v>6</v>
      </c>
      <c r="H362" s="27" t="n">
        <f aca="false">G362-E362</f>
        <v>0</v>
      </c>
      <c r="I362" s="29" t="n">
        <f aca="false">D362*H362</f>
        <v>0</v>
      </c>
      <c r="J362" s="30" t="n">
        <f aca="false">D362*G362</f>
        <v>282.42</v>
      </c>
    </row>
    <row r="363" customFormat="false" ht="26.25" hidden="false" customHeight="true" outlineLevel="0" collapsed="false">
      <c r="A363" s="157" t="s">
        <v>446</v>
      </c>
      <c r="B363" s="157" t="s">
        <v>447</v>
      </c>
      <c r="C363" s="158" t="s">
        <v>265</v>
      </c>
      <c r="D363" s="159" t="n">
        <v>47.07</v>
      </c>
      <c r="E363" s="160" t="n">
        <v>3</v>
      </c>
      <c r="F363" s="161"/>
      <c r="G363" s="160" t="n">
        <v>3</v>
      </c>
      <c r="H363" s="27" t="n">
        <f aca="false">G363-E363</f>
        <v>0</v>
      </c>
      <c r="I363" s="29" t="n">
        <f aca="false">D363*H363</f>
        <v>0</v>
      </c>
      <c r="J363" s="30" t="n">
        <f aca="false">D363*G363</f>
        <v>141.21</v>
      </c>
    </row>
    <row r="364" customFormat="false" ht="39" hidden="false" customHeight="true" outlineLevel="0" collapsed="false">
      <c r="A364" s="157" t="s">
        <v>448</v>
      </c>
      <c r="B364" s="157" t="s">
        <v>449</v>
      </c>
      <c r="C364" s="158" t="s">
        <v>265</v>
      </c>
      <c r="D364" s="159" t="n">
        <v>65.78</v>
      </c>
      <c r="E364" s="160" t="n">
        <v>9</v>
      </c>
      <c r="F364" s="161"/>
      <c r="G364" s="160" t="n">
        <v>9</v>
      </c>
      <c r="H364" s="27" t="n">
        <f aca="false">G364-E364</f>
        <v>0</v>
      </c>
      <c r="I364" s="29" t="n">
        <f aca="false">D364*H364</f>
        <v>0</v>
      </c>
      <c r="J364" s="30" t="n">
        <f aca="false">D364*G364</f>
        <v>592.02</v>
      </c>
    </row>
    <row r="365" customFormat="false" ht="39" hidden="false" customHeight="true" outlineLevel="0" collapsed="false">
      <c r="A365" s="157" t="s">
        <v>450</v>
      </c>
      <c r="B365" s="157" t="s">
        <v>451</v>
      </c>
      <c r="C365" s="158" t="s">
        <v>265</v>
      </c>
      <c r="D365" s="159" t="n">
        <v>65.78</v>
      </c>
      <c r="E365" s="160" t="n">
        <v>11</v>
      </c>
      <c r="F365" s="161"/>
      <c r="G365" s="160" t="n">
        <v>11</v>
      </c>
      <c r="H365" s="27" t="n">
        <f aca="false">G365-E365</f>
        <v>0</v>
      </c>
      <c r="I365" s="29" t="n">
        <f aca="false">D365*H365</f>
        <v>0</v>
      </c>
      <c r="J365" s="30" t="n">
        <f aca="false">D365*G365</f>
        <v>723.58</v>
      </c>
    </row>
    <row r="366" customFormat="false" ht="39" hidden="false" customHeight="true" outlineLevel="0" collapsed="false">
      <c r="A366" s="157" t="s">
        <v>452</v>
      </c>
      <c r="B366" s="157" t="s">
        <v>453</v>
      </c>
      <c r="C366" s="158" t="s">
        <v>265</v>
      </c>
      <c r="D366" s="159" t="n">
        <v>65.78</v>
      </c>
      <c r="E366" s="160" t="n">
        <v>5</v>
      </c>
      <c r="F366" s="161"/>
      <c r="G366" s="160" t="n">
        <v>2</v>
      </c>
      <c r="H366" s="27" t="n">
        <f aca="false">G366-E366</f>
        <v>-3</v>
      </c>
      <c r="I366" s="29" t="n">
        <f aca="false">D366*H366</f>
        <v>-197.34</v>
      </c>
      <c r="J366" s="30" t="n">
        <f aca="false">D366*G366</f>
        <v>131.56</v>
      </c>
    </row>
    <row r="367" customFormat="false" ht="39" hidden="false" customHeight="true" outlineLevel="0" collapsed="false">
      <c r="A367" s="157" t="s">
        <v>454</v>
      </c>
      <c r="B367" s="157" t="s">
        <v>455</v>
      </c>
      <c r="C367" s="158" t="s">
        <v>265</v>
      </c>
      <c r="D367" s="159" t="n">
        <v>65.78</v>
      </c>
      <c r="E367" s="160" t="n">
        <v>7</v>
      </c>
      <c r="F367" s="161"/>
      <c r="G367" s="160" t="n">
        <v>7</v>
      </c>
      <c r="H367" s="27" t="n">
        <f aca="false">G367-E367</f>
        <v>0</v>
      </c>
      <c r="I367" s="29" t="n">
        <f aca="false">D367*H367</f>
        <v>0</v>
      </c>
      <c r="J367" s="30" t="n">
        <f aca="false">D367*G367</f>
        <v>460.46</v>
      </c>
    </row>
    <row r="368" customFormat="false" ht="39" hidden="false" customHeight="true" outlineLevel="0" collapsed="false">
      <c r="A368" s="157" t="s">
        <v>456</v>
      </c>
      <c r="B368" s="157" t="s">
        <v>457</v>
      </c>
      <c r="C368" s="158" t="s">
        <v>265</v>
      </c>
      <c r="D368" s="159" t="n">
        <v>65.78</v>
      </c>
      <c r="E368" s="160" t="n">
        <v>7</v>
      </c>
      <c r="F368" s="161"/>
      <c r="G368" s="160" t="n">
        <v>7</v>
      </c>
      <c r="H368" s="27" t="n">
        <f aca="false">G368-E368</f>
        <v>0</v>
      </c>
      <c r="I368" s="29" t="n">
        <f aca="false">D368*H368</f>
        <v>0</v>
      </c>
      <c r="J368" s="30" t="n">
        <f aca="false">D368*G368</f>
        <v>460.46</v>
      </c>
    </row>
    <row r="369" customFormat="false" ht="39" hidden="false" customHeight="true" outlineLevel="0" collapsed="false">
      <c r="A369" s="157" t="s">
        <v>458</v>
      </c>
      <c r="B369" s="157" t="s">
        <v>459</v>
      </c>
      <c r="C369" s="158" t="s">
        <v>265</v>
      </c>
      <c r="D369" s="159" t="n">
        <v>65.78</v>
      </c>
      <c r="E369" s="160" t="n">
        <v>7</v>
      </c>
      <c r="F369" s="161"/>
      <c r="G369" s="160" t="n">
        <v>7</v>
      </c>
      <c r="H369" s="27" t="n">
        <f aca="false">G369-E369</f>
        <v>0</v>
      </c>
      <c r="I369" s="29" t="n">
        <f aca="false">D369*H369</f>
        <v>0</v>
      </c>
      <c r="J369" s="30" t="n">
        <f aca="false">D369*G369</f>
        <v>460.46</v>
      </c>
    </row>
    <row r="370" customFormat="false" ht="39" hidden="false" customHeight="true" outlineLevel="0" collapsed="false">
      <c r="A370" s="157" t="s">
        <v>460</v>
      </c>
      <c r="B370" s="157" t="s">
        <v>459</v>
      </c>
      <c r="C370" s="158" t="s">
        <v>265</v>
      </c>
      <c r="D370" s="159" t="n">
        <v>65.78</v>
      </c>
      <c r="E370" s="160" t="n">
        <v>8</v>
      </c>
      <c r="F370" s="161"/>
      <c r="G370" s="160" t="n">
        <v>8</v>
      </c>
      <c r="H370" s="27" t="n">
        <f aca="false">G370-E370</f>
        <v>0</v>
      </c>
      <c r="I370" s="29" t="n">
        <f aca="false">D370*H370</f>
        <v>0</v>
      </c>
      <c r="J370" s="30" t="n">
        <f aca="false">D370*G370</f>
        <v>526.24</v>
      </c>
    </row>
    <row r="371" customFormat="false" ht="39" hidden="false" customHeight="true" outlineLevel="0" collapsed="false">
      <c r="A371" s="157" t="s">
        <v>461</v>
      </c>
      <c r="B371" s="157" t="s">
        <v>459</v>
      </c>
      <c r="C371" s="158" t="s">
        <v>265</v>
      </c>
      <c r="D371" s="159" t="n">
        <v>65.78</v>
      </c>
      <c r="E371" s="160" t="n">
        <v>6</v>
      </c>
      <c r="F371" s="161"/>
      <c r="G371" s="160" t="n">
        <v>6</v>
      </c>
      <c r="H371" s="27" t="n">
        <f aca="false">G371-E371</f>
        <v>0</v>
      </c>
      <c r="I371" s="29" t="n">
        <f aca="false">D371*H371</f>
        <v>0</v>
      </c>
      <c r="J371" s="30" t="n">
        <f aca="false">D371*G371</f>
        <v>394.68</v>
      </c>
    </row>
    <row r="372" customFormat="false" ht="39" hidden="false" customHeight="true" outlineLevel="0" collapsed="false">
      <c r="A372" s="157" t="s">
        <v>462</v>
      </c>
      <c r="B372" s="157" t="s">
        <v>459</v>
      </c>
      <c r="C372" s="158" t="s">
        <v>265</v>
      </c>
      <c r="D372" s="159" t="n">
        <v>65.78</v>
      </c>
      <c r="E372" s="160" t="n">
        <v>10</v>
      </c>
      <c r="F372" s="161"/>
      <c r="G372" s="160" t="n">
        <v>10</v>
      </c>
      <c r="H372" s="27" t="n">
        <f aca="false">G372-E372</f>
        <v>0</v>
      </c>
      <c r="I372" s="29" t="n">
        <f aca="false">D372*H372</f>
        <v>0</v>
      </c>
      <c r="J372" s="30" t="n">
        <f aca="false">D372*G372</f>
        <v>657.8</v>
      </c>
    </row>
    <row r="373" customFormat="false" ht="39" hidden="false" customHeight="true" outlineLevel="0" collapsed="false">
      <c r="A373" s="157" t="s">
        <v>463</v>
      </c>
      <c r="B373" s="157" t="s">
        <v>459</v>
      </c>
      <c r="C373" s="158" t="s">
        <v>265</v>
      </c>
      <c r="D373" s="159" t="n">
        <v>65.78</v>
      </c>
      <c r="E373" s="160" t="n">
        <v>10</v>
      </c>
      <c r="F373" s="161"/>
      <c r="G373" s="160" t="n">
        <v>10</v>
      </c>
      <c r="H373" s="27" t="n">
        <f aca="false">G373-E373</f>
        <v>0</v>
      </c>
      <c r="I373" s="29" t="n">
        <f aca="false">D373*H373</f>
        <v>0</v>
      </c>
      <c r="J373" s="30" t="n">
        <f aca="false">D373*G373</f>
        <v>657.8</v>
      </c>
    </row>
    <row r="374" customFormat="false" ht="26.25" hidden="false" customHeight="true" outlineLevel="0" collapsed="false">
      <c r="A374" s="157" t="s">
        <v>464</v>
      </c>
      <c r="B374" s="157" t="s">
        <v>465</v>
      </c>
      <c r="C374" s="158" t="s">
        <v>265</v>
      </c>
      <c r="D374" s="159" t="n">
        <v>65.78</v>
      </c>
      <c r="E374" s="160" t="n">
        <v>2</v>
      </c>
      <c r="F374" s="161"/>
      <c r="G374" s="160" t="n">
        <v>2</v>
      </c>
      <c r="H374" s="27" t="n">
        <f aca="false">G374-E374</f>
        <v>0</v>
      </c>
      <c r="I374" s="29" t="n">
        <f aca="false">D374*H374</f>
        <v>0</v>
      </c>
      <c r="J374" s="30" t="n">
        <f aca="false">D374*G374</f>
        <v>131.56</v>
      </c>
    </row>
    <row r="375" customFormat="false" ht="39" hidden="false" customHeight="true" outlineLevel="0" collapsed="false">
      <c r="A375" s="157" t="s">
        <v>466</v>
      </c>
      <c r="B375" s="157" t="s">
        <v>467</v>
      </c>
      <c r="C375" s="158" t="s">
        <v>265</v>
      </c>
      <c r="D375" s="159" t="n">
        <v>65.78</v>
      </c>
      <c r="E375" s="160" t="n">
        <v>4</v>
      </c>
      <c r="F375" s="161"/>
      <c r="G375" s="160" t="n">
        <v>4</v>
      </c>
      <c r="H375" s="27" t="n">
        <f aca="false">G375-E375</f>
        <v>0</v>
      </c>
      <c r="I375" s="29" t="n">
        <f aca="false">D375*H375</f>
        <v>0</v>
      </c>
      <c r="J375" s="30" t="n">
        <f aca="false">D375*G375</f>
        <v>263.12</v>
      </c>
    </row>
    <row r="376" customFormat="false" ht="39" hidden="false" customHeight="true" outlineLevel="0" collapsed="false">
      <c r="A376" s="157" t="s">
        <v>468</v>
      </c>
      <c r="B376" s="157" t="s">
        <v>469</v>
      </c>
      <c r="C376" s="158" t="s">
        <v>265</v>
      </c>
      <c r="D376" s="159" t="n">
        <v>65.78</v>
      </c>
      <c r="E376" s="160" t="n">
        <v>5</v>
      </c>
      <c r="F376" s="161"/>
      <c r="G376" s="160" t="n">
        <v>5</v>
      </c>
      <c r="H376" s="27" t="n">
        <f aca="false">G376-E376</f>
        <v>0</v>
      </c>
      <c r="I376" s="29" t="n">
        <f aca="false">D376*H376</f>
        <v>0</v>
      </c>
      <c r="J376" s="30" t="n">
        <f aca="false">D376*G376</f>
        <v>328.9</v>
      </c>
    </row>
    <row r="377" customFormat="false" ht="26.25" hidden="false" customHeight="true" outlineLevel="0" collapsed="false">
      <c r="A377" s="157" t="s">
        <v>470</v>
      </c>
      <c r="B377" s="157" t="s">
        <v>471</v>
      </c>
      <c r="C377" s="158" t="s">
        <v>265</v>
      </c>
      <c r="D377" s="159" t="n">
        <v>65.78</v>
      </c>
      <c r="E377" s="160" t="n">
        <v>4</v>
      </c>
      <c r="F377" s="161"/>
      <c r="G377" s="160" t="n">
        <v>4</v>
      </c>
      <c r="H377" s="27" t="n">
        <f aca="false">G377-E377</f>
        <v>0</v>
      </c>
      <c r="I377" s="29" t="n">
        <f aca="false">D377*H377</f>
        <v>0</v>
      </c>
      <c r="J377" s="30" t="n">
        <f aca="false">D377*G377</f>
        <v>263.12</v>
      </c>
    </row>
    <row r="378" customFormat="false" ht="26.25" hidden="false" customHeight="true" outlineLevel="0" collapsed="false">
      <c r="A378" s="157" t="s">
        <v>472</v>
      </c>
      <c r="B378" s="157" t="s">
        <v>473</v>
      </c>
      <c r="C378" s="158" t="s">
        <v>265</v>
      </c>
      <c r="D378" s="159" t="n">
        <v>65.78</v>
      </c>
      <c r="E378" s="160" t="n">
        <v>3</v>
      </c>
      <c r="F378" s="161"/>
      <c r="G378" s="160" t="n">
        <v>3</v>
      </c>
      <c r="H378" s="27" t="n">
        <f aca="false">G378-E378</f>
        <v>0</v>
      </c>
      <c r="I378" s="29" t="n">
        <f aca="false">D378*H378</f>
        <v>0</v>
      </c>
      <c r="J378" s="30" t="n">
        <f aca="false">D378*G378</f>
        <v>197.34</v>
      </c>
    </row>
    <row r="379" customFormat="false" ht="26.25" hidden="false" customHeight="true" outlineLevel="0" collapsed="false">
      <c r="A379" s="157" t="s">
        <v>474</v>
      </c>
      <c r="B379" s="157" t="s">
        <v>475</v>
      </c>
      <c r="C379" s="158" t="s">
        <v>265</v>
      </c>
      <c r="D379" s="159" t="n">
        <v>34.65</v>
      </c>
      <c r="E379" s="160" t="n">
        <v>8</v>
      </c>
      <c r="F379" s="161"/>
      <c r="G379" s="160" t="n">
        <v>8</v>
      </c>
      <c r="H379" s="27" t="n">
        <f aca="false">G379-E379</f>
        <v>0</v>
      </c>
      <c r="I379" s="29" t="n">
        <f aca="false">D379*H379</f>
        <v>0</v>
      </c>
      <c r="J379" s="30" t="n">
        <f aca="false">D379*G379</f>
        <v>277.2</v>
      </c>
    </row>
    <row r="380" customFormat="false" ht="26.25" hidden="false" customHeight="true" outlineLevel="0" collapsed="false">
      <c r="A380" s="157" t="s">
        <v>476</v>
      </c>
      <c r="B380" s="157" t="s">
        <v>477</v>
      </c>
      <c r="C380" s="158" t="s">
        <v>265</v>
      </c>
      <c r="D380" s="159" t="n">
        <v>34.65</v>
      </c>
      <c r="E380" s="160" t="n">
        <v>9</v>
      </c>
      <c r="F380" s="161"/>
      <c r="G380" s="160" t="n">
        <v>9</v>
      </c>
      <c r="H380" s="27" t="n">
        <f aca="false">G380-E380</f>
        <v>0</v>
      </c>
      <c r="I380" s="29" t="n">
        <f aca="false">D380*H380</f>
        <v>0</v>
      </c>
      <c r="J380" s="30" t="n">
        <f aca="false">D380*G380</f>
        <v>311.85</v>
      </c>
    </row>
    <row r="381" customFormat="false" ht="26.25" hidden="false" customHeight="true" outlineLevel="0" collapsed="false">
      <c r="A381" s="157" t="s">
        <v>478</v>
      </c>
      <c r="B381" s="157" t="s">
        <v>479</v>
      </c>
      <c r="C381" s="158" t="s">
        <v>265</v>
      </c>
      <c r="D381" s="159" t="n">
        <v>34.65</v>
      </c>
      <c r="E381" s="160" t="n">
        <v>12</v>
      </c>
      <c r="F381" s="161"/>
      <c r="G381" s="160" t="n">
        <v>12</v>
      </c>
      <c r="H381" s="27" t="n">
        <f aca="false">G381-E381</f>
        <v>0</v>
      </c>
      <c r="I381" s="29" t="n">
        <f aca="false">D381*H381</f>
        <v>0</v>
      </c>
      <c r="J381" s="30" t="n">
        <f aca="false">D381*G381</f>
        <v>415.8</v>
      </c>
    </row>
    <row r="382" customFormat="false" ht="26.25" hidden="false" customHeight="true" outlineLevel="0" collapsed="false">
      <c r="A382" s="157" t="s">
        <v>480</v>
      </c>
      <c r="B382" s="157" t="s">
        <v>481</v>
      </c>
      <c r="C382" s="158" t="s">
        <v>265</v>
      </c>
      <c r="D382" s="159" t="n">
        <v>34.65</v>
      </c>
      <c r="E382" s="160" t="n">
        <v>2</v>
      </c>
      <c r="F382" s="161"/>
      <c r="G382" s="160" t="n">
        <v>3</v>
      </c>
      <c r="H382" s="27" t="n">
        <f aca="false">G382-E382</f>
        <v>1</v>
      </c>
      <c r="I382" s="29" t="n">
        <f aca="false">D382*H382</f>
        <v>34.65</v>
      </c>
      <c r="J382" s="30" t="n">
        <f aca="false">D382*G382</f>
        <v>103.95</v>
      </c>
    </row>
    <row r="383" customFormat="false" ht="26.25" hidden="false" customHeight="true" outlineLevel="0" collapsed="false">
      <c r="A383" s="157" t="s">
        <v>482</v>
      </c>
      <c r="B383" s="157" t="s">
        <v>483</v>
      </c>
      <c r="C383" s="158" t="s">
        <v>265</v>
      </c>
      <c r="D383" s="159" t="n">
        <v>34.65</v>
      </c>
      <c r="E383" s="160" t="n">
        <v>8</v>
      </c>
      <c r="F383" s="161"/>
      <c r="G383" s="160" t="n">
        <v>8</v>
      </c>
      <c r="H383" s="27" t="n">
        <f aca="false">G383-E383</f>
        <v>0</v>
      </c>
      <c r="I383" s="29" t="n">
        <f aca="false">D383*H383</f>
        <v>0</v>
      </c>
      <c r="J383" s="30" t="n">
        <f aca="false">D383*G383</f>
        <v>277.2</v>
      </c>
    </row>
    <row r="384" customFormat="false" ht="26.25" hidden="false" customHeight="true" outlineLevel="0" collapsed="false">
      <c r="A384" s="157" t="s">
        <v>484</v>
      </c>
      <c r="B384" s="157" t="s">
        <v>485</v>
      </c>
      <c r="C384" s="158" t="s">
        <v>265</v>
      </c>
      <c r="D384" s="159" t="n">
        <v>63.73</v>
      </c>
      <c r="E384" s="160" t="n">
        <v>4</v>
      </c>
      <c r="F384" s="161"/>
      <c r="G384" s="160" t="n">
        <v>4</v>
      </c>
      <c r="H384" s="27" t="n">
        <f aca="false">G384-E384</f>
        <v>0</v>
      </c>
      <c r="I384" s="29" t="n">
        <f aca="false">D384*H384</f>
        <v>0</v>
      </c>
      <c r="J384" s="30" t="n">
        <f aca="false">D384*G384</f>
        <v>254.92</v>
      </c>
    </row>
    <row r="385" customFormat="false" ht="26.25" hidden="false" customHeight="true" outlineLevel="0" collapsed="false">
      <c r="A385" s="157" t="s">
        <v>486</v>
      </c>
      <c r="B385" s="157" t="s">
        <v>487</v>
      </c>
      <c r="C385" s="158" t="s">
        <v>265</v>
      </c>
      <c r="D385" s="159" t="n">
        <v>63.73</v>
      </c>
      <c r="E385" s="160" t="n">
        <v>3</v>
      </c>
      <c r="F385" s="161"/>
      <c r="G385" s="160" t="n">
        <v>3</v>
      </c>
      <c r="H385" s="27" t="n">
        <f aca="false">G385-E385</f>
        <v>0</v>
      </c>
      <c r="I385" s="29" t="n">
        <f aca="false">D385*H385</f>
        <v>0</v>
      </c>
      <c r="J385" s="30" t="n">
        <f aca="false">D385*G385</f>
        <v>191.19</v>
      </c>
    </row>
    <row r="386" customFormat="false" ht="26.25" hidden="false" customHeight="true" outlineLevel="0" collapsed="false">
      <c r="A386" s="157" t="s">
        <v>488</v>
      </c>
      <c r="B386" s="157" t="s">
        <v>489</v>
      </c>
      <c r="C386" s="158" t="s">
        <v>265</v>
      </c>
      <c r="D386" s="159" t="n">
        <v>63.73</v>
      </c>
      <c r="E386" s="160" t="n">
        <v>3</v>
      </c>
      <c r="F386" s="161"/>
      <c r="G386" s="160" t="n">
        <v>3</v>
      </c>
      <c r="H386" s="27" t="n">
        <f aca="false">G386-E386</f>
        <v>0</v>
      </c>
      <c r="I386" s="29" t="n">
        <f aca="false">D386*H386</f>
        <v>0</v>
      </c>
      <c r="J386" s="30" t="n">
        <f aca="false">D386*G386</f>
        <v>191.19</v>
      </c>
    </row>
    <row r="387" customFormat="false" ht="26.25" hidden="false" customHeight="true" outlineLevel="0" collapsed="false">
      <c r="A387" s="157" t="s">
        <v>490</v>
      </c>
      <c r="B387" s="157" t="s">
        <v>491</v>
      </c>
      <c r="C387" s="158" t="s">
        <v>265</v>
      </c>
      <c r="D387" s="159" t="n">
        <v>34.65</v>
      </c>
      <c r="E387" s="160" t="n">
        <v>2</v>
      </c>
      <c r="F387" s="161"/>
      <c r="G387" s="160" t="n">
        <v>2</v>
      </c>
      <c r="H387" s="27" t="n">
        <f aca="false">G387-E387</f>
        <v>0</v>
      </c>
      <c r="I387" s="29" t="n">
        <f aca="false">D387*H387</f>
        <v>0</v>
      </c>
      <c r="J387" s="30" t="n">
        <f aca="false">D387*G387</f>
        <v>69.3</v>
      </c>
    </row>
    <row r="388" customFormat="false" ht="26.25" hidden="false" customHeight="true" outlineLevel="0" collapsed="false">
      <c r="A388" s="157" t="s">
        <v>492</v>
      </c>
      <c r="B388" s="157" t="s">
        <v>493</v>
      </c>
      <c r="C388" s="158" t="s">
        <v>265</v>
      </c>
      <c r="D388" s="159" t="n">
        <v>34.65</v>
      </c>
      <c r="E388" s="160" t="n">
        <v>4</v>
      </c>
      <c r="F388" s="161"/>
      <c r="G388" s="160" t="n">
        <v>4</v>
      </c>
      <c r="H388" s="27" t="n">
        <f aca="false">G388-E388</f>
        <v>0</v>
      </c>
      <c r="I388" s="29" t="n">
        <f aca="false">D388*H388</f>
        <v>0</v>
      </c>
      <c r="J388" s="30" t="n">
        <f aca="false">D388*G388</f>
        <v>138.6</v>
      </c>
    </row>
    <row r="389" customFormat="false" ht="26.25" hidden="false" customHeight="true" outlineLevel="0" collapsed="false">
      <c r="A389" s="157" t="s">
        <v>494</v>
      </c>
      <c r="B389" s="157" t="s">
        <v>495</v>
      </c>
      <c r="C389" s="158" t="s">
        <v>265</v>
      </c>
      <c r="D389" s="159" t="n">
        <v>34.65</v>
      </c>
      <c r="E389" s="160" t="n">
        <v>4</v>
      </c>
      <c r="F389" s="161"/>
      <c r="G389" s="160" t="n">
        <v>4</v>
      </c>
      <c r="H389" s="27" t="n">
        <f aca="false">G389-E389</f>
        <v>0</v>
      </c>
      <c r="I389" s="29" t="n">
        <f aca="false">D389*H389</f>
        <v>0</v>
      </c>
      <c r="J389" s="30" t="n">
        <f aca="false">D389*G389</f>
        <v>138.6</v>
      </c>
    </row>
    <row r="390" customFormat="false" ht="26.25" hidden="false" customHeight="true" outlineLevel="0" collapsed="false">
      <c r="A390" s="157" t="s">
        <v>496</v>
      </c>
      <c r="B390" s="157" t="s">
        <v>497</v>
      </c>
      <c r="C390" s="158" t="s">
        <v>265</v>
      </c>
      <c r="D390" s="159" t="n">
        <v>29.2</v>
      </c>
      <c r="E390" s="160" t="n">
        <v>4</v>
      </c>
      <c r="F390" s="161"/>
      <c r="G390" s="160" t="n">
        <v>4</v>
      </c>
      <c r="H390" s="27" t="n">
        <f aca="false">G390-E390</f>
        <v>0</v>
      </c>
      <c r="I390" s="29" t="n">
        <f aca="false">D390*H390</f>
        <v>0</v>
      </c>
      <c r="J390" s="30" t="n">
        <f aca="false">D390*G390</f>
        <v>116.8</v>
      </c>
    </row>
    <row r="391" customFormat="false" ht="26.25" hidden="false" customHeight="true" outlineLevel="0" collapsed="false">
      <c r="A391" s="157" t="s">
        <v>498</v>
      </c>
      <c r="B391" s="157" t="s">
        <v>499</v>
      </c>
      <c r="C391" s="158" t="s">
        <v>265</v>
      </c>
      <c r="D391" s="159" t="n">
        <v>29.2</v>
      </c>
      <c r="E391" s="160" t="n">
        <v>8</v>
      </c>
      <c r="F391" s="161"/>
      <c r="G391" s="160" t="n">
        <v>8</v>
      </c>
      <c r="H391" s="27" t="n">
        <f aca="false">G391-E391</f>
        <v>0</v>
      </c>
      <c r="I391" s="29" t="n">
        <f aca="false">D391*H391</f>
        <v>0</v>
      </c>
      <c r="J391" s="30" t="n">
        <f aca="false">D391*G391</f>
        <v>233.6</v>
      </c>
    </row>
    <row r="392" customFormat="false" ht="26.25" hidden="false" customHeight="true" outlineLevel="0" collapsed="false">
      <c r="A392" s="157" t="s">
        <v>500</v>
      </c>
      <c r="B392" s="157" t="s">
        <v>501</v>
      </c>
      <c r="C392" s="158" t="s">
        <v>265</v>
      </c>
      <c r="D392" s="159" t="n">
        <v>44.33</v>
      </c>
      <c r="E392" s="160" t="n">
        <v>5</v>
      </c>
      <c r="F392" s="161"/>
      <c r="G392" s="160" t="n">
        <v>5</v>
      </c>
      <c r="H392" s="27" t="n">
        <f aca="false">G392-E392</f>
        <v>0</v>
      </c>
      <c r="I392" s="29" t="n">
        <f aca="false">D392*H392</f>
        <v>0</v>
      </c>
      <c r="J392" s="30" t="n">
        <f aca="false">D392*G392</f>
        <v>221.65</v>
      </c>
    </row>
    <row r="393" customFormat="false" ht="26.25" hidden="false" customHeight="true" outlineLevel="0" collapsed="false">
      <c r="A393" s="157" t="s">
        <v>502</v>
      </c>
      <c r="B393" s="157" t="s">
        <v>503</v>
      </c>
      <c r="C393" s="158" t="s">
        <v>265</v>
      </c>
      <c r="D393" s="159" t="n">
        <v>63.73</v>
      </c>
      <c r="E393" s="160" t="n">
        <v>3</v>
      </c>
      <c r="F393" s="161"/>
      <c r="G393" s="160" t="n">
        <v>3</v>
      </c>
      <c r="H393" s="27" t="n">
        <f aca="false">G393-E393</f>
        <v>0</v>
      </c>
      <c r="I393" s="29" t="n">
        <f aca="false">D393*H393</f>
        <v>0</v>
      </c>
      <c r="J393" s="30" t="n">
        <f aca="false">D393*G393</f>
        <v>191.19</v>
      </c>
    </row>
    <row r="394" customFormat="false" ht="26.25" hidden="false" customHeight="true" outlineLevel="0" collapsed="false">
      <c r="A394" s="157" t="s">
        <v>504</v>
      </c>
      <c r="B394" s="157" t="s">
        <v>505</v>
      </c>
      <c r="C394" s="158" t="s">
        <v>265</v>
      </c>
      <c r="D394" s="159" t="n">
        <v>63.73</v>
      </c>
      <c r="E394" s="160" t="n">
        <v>6</v>
      </c>
      <c r="F394" s="161"/>
      <c r="G394" s="160" t="n">
        <v>6</v>
      </c>
      <c r="H394" s="27" t="n">
        <f aca="false">G394-E394</f>
        <v>0</v>
      </c>
      <c r="I394" s="29" t="n">
        <f aca="false">D394*H394</f>
        <v>0</v>
      </c>
      <c r="J394" s="30" t="n">
        <f aca="false">D394*G394</f>
        <v>382.38</v>
      </c>
    </row>
    <row r="395" customFormat="false" ht="26.25" hidden="false" customHeight="true" outlineLevel="0" collapsed="false">
      <c r="A395" s="157" t="s">
        <v>506</v>
      </c>
      <c r="B395" s="157" t="s">
        <v>507</v>
      </c>
      <c r="C395" s="158" t="s">
        <v>265</v>
      </c>
      <c r="D395" s="159" t="n">
        <v>163.8</v>
      </c>
      <c r="E395" s="160" t="n">
        <v>2</v>
      </c>
      <c r="F395" s="161"/>
      <c r="G395" s="160" t="n">
        <v>2</v>
      </c>
      <c r="H395" s="27" t="n">
        <f aca="false">G395-E395</f>
        <v>0</v>
      </c>
      <c r="I395" s="29" t="n">
        <f aca="false">D395*H395</f>
        <v>0</v>
      </c>
      <c r="J395" s="30" t="n">
        <f aca="false">D395*G395</f>
        <v>327.6</v>
      </c>
    </row>
    <row r="396" customFormat="false" ht="26.25" hidden="false" customHeight="true" outlineLevel="0" collapsed="false">
      <c r="A396" s="157" t="s">
        <v>508</v>
      </c>
      <c r="B396" s="157" t="s">
        <v>509</v>
      </c>
      <c r="C396" s="158" t="s">
        <v>265</v>
      </c>
      <c r="D396" s="159" t="n">
        <v>65.78</v>
      </c>
      <c r="E396" s="160" t="n">
        <v>6</v>
      </c>
      <c r="F396" s="161"/>
      <c r="G396" s="160" t="n">
        <v>6</v>
      </c>
      <c r="H396" s="27" t="n">
        <f aca="false">G396-E396</f>
        <v>0</v>
      </c>
      <c r="I396" s="29" t="n">
        <f aca="false">D396*H396</f>
        <v>0</v>
      </c>
      <c r="J396" s="30" t="n">
        <f aca="false">D396*G396</f>
        <v>394.68</v>
      </c>
    </row>
    <row r="397" customFormat="false" ht="26.25" hidden="false" customHeight="true" outlineLevel="0" collapsed="false">
      <c r="A397" s="157" t="s">
        <v>510</v>
      </c>
      <c r="B397" s="157" t="s">
        <v>511</v>
      </c>
      <c r="C397" s="158" t="s">
        <v>265</v>
      </c>
      <c r="D397" s="159" t="n">
        <v>65.78</v>
      </c>
      <c r="E397" s="160" t="n">
        <v>1</v>
      </c>
      <c r="F397" s="161"/>
      <c r="G397" s="160" t="n">
        <v>1</v>
      </c>
      <c r="H397" s="27" t="n">
        <f aca="false">G397-E397</f>
        <v>0</v>
      </c>
      <c r="I397" s="29" t="n">
        <f aca="false">D397*H397</f>
        <v>0</v>
      </c>
      <c r="J397" s="30" t="n">
        <f aca="false">D397*G397</f>
        <v>65.78</v>
      </c>
    </row>
    <row r="398" customFormat="false" ht="26.25" hidden="false" customHeight="true" outlineLevel="0" collapsed="false">
      <c r="A398" s="157" t="s">
        <v>512</v>
      </c>
      <c r="B398" s="157" t="s">
        <v>513</v>
      </c>
      <c r="C398" s="158" t="s">
        <v>265</v>
      </c>
      <c r="D398" s="159" t="n">
        <v>65.78</v>
      </c>
      <c r="E398" s="160" t="n">
        <v>1</v>
      </c>
      <c r="F398" s="161"/>
      <c r="G398" s="160" t="n">
        <v>1</v>
      </c>
      <c r="H398" s="27" t="n">
        <f aca="false">G398-E398</f>
        <v>0</v>
      </c>
      <c r="I398" s="29" t="n">
        <f aca="false">D398*H398</f>
        <v>0</v>
      </c>
      <c r="J398" s="30" t="n">
        <f aca="false">D398*G398</f>
        <v>65.78</v>
      </c>
    </row>
    <row r="399" customFormat="false" ht="26.25" hidden="false" customHeight="true" outlineLevel="0" collapsed="false">
      <c r="A399" s="157" t="s">
        <v>514</v>
      </c>
      <c r="B399" s="157" t="s">
        <v>515</v>
      </c>
      <c r="C399" s="158" t="s">
        <v>265</v>
      </c>
      <c r="D399" s="159" t="n">
        <v>65.78</v>
      </c>
      <c r="E399" s="160" t="n">
        <v>1</v>
      </c>
      <c r="F399" s="161"/>
      <c r="G399" s="160" t="n">
        <v>1</v>
      </c>
      <c r="H399" s="27" t="n">
        <f aca="false">G399-E399</f>
        <v>0</v>
      </c>
      <c r="I399" s="29" t="n">
        <f aca="false">D399*H399</f>
        <v>0</v>
      </c>
      <c r="J399" s="30" t="n">
        <f aca="false">D399*G399</f>
        <v>65.78</v>
      </c>
    </row>
    <row r="400" customFormat="false" ht="26.25" hidden="false" customHeight="true" outlineLevel="0" collapsed="false">
      <c r="A400" s="157" t="s">
        <v>516</v>
      </c>
      <c r="B400" s="157" t="s">
        <v>517</v>
      </c>
      <c r="C400" s="158" t="s">
        <v>265</v>
      </c>
      <c r="D400" s="159" t="n">
        <v>65.78</v>
      </c>
      <c r="E400" s="160" t="n">
        <v>3</v>
      </c>
      <c r="F400" s="161"/>
      <c r="G400" s="160" t="n">
        <v>3</v>
      </c>
      <c r="H400" s="27" t="n">
        <f aca="false">G400-E400</f>
        <v>0</v>
      </c>
      <c r="I400" s="29" t="n">
        <f aca="false">D400*H400</f>
        <v>0</v>
      </c>
      <c r="J400" s="30" t="n">
        <f aca="false">D400*G400</f>
        <v>197.34</v>
      </c>
    </row>
    <row r="401" customFormat="false" ht="26.25" hidden="false" customHeight="true" outlineLevel="0" collapsed="false">
      <c r="A401" s="157" t="s">
        <v>518</v>
      </c>
      <c r="B401" s="157" t="s">
        <v>519</v>
      </c>
      <c r="C401" s="158" t="s">
        <v>265</v>
      </c>
      <c r="D401" s="159" t="n">
        <v>23.71</v>
      </c>
      <c r="E401" s="160" t="n">
        <v>8</v>
      </c>
      <c r="F401" s="161"/>
      <c r="G401" s="160" t="n">
        <v>8</v>
      </c>
      <c r="H401" s="27" t="n">
        <f aca="false">G401-E401</f>
        <v>0</v>
      </c>
      <c r="I401" s="29" t="n">
        <f aca="false">D401*H401</f>
        <v>0</v>
      </c>
      <c r="J401" s="30" t="n">
        <f aca="false">D401*G401</f>
        <v>189.68</v>
      </c>
    </row>
    <row r="402" customFormat="false" ht="26.25" hidden="false" customHeight="true" outlineLevel="0" collapsed="false">
      <c r="A402" s="157" t="s">
        <v>520</v>
      </c>
      <c r="B402" s="157" t="s">
        <v>521</v>
      </c>
      <c r="C402" s="158" t="s">
        <v>265</v>
      </c>
      <c r="D402" s="159" t="n">
        <v>20.71</v>
      </c>
      <c r="E402" s="160" t="n">
        <v>6</v>
      </c>
      <c r="F402" s="161"/>
      <c r="G402" s="160" t="n">
        <v>6</v>
      </c>
      <c r="H402" s="27" t="n">
        <f aca="false">G402-E402</f>
        <v>0</v>
      </c>
      <c r="I402" s="29" t="n">
        <f aca="false">D402*H402</f>
        <v>0</v>
      </c>
      <c r="J402" s="30" t="n">
        <f aca="false">D402*G402</f>
        <v>124.26</v>
      </c>
    </row>
    <row r="403" customFormat="false" ht="39" hidden="false" customHeight="true" outlineLevel="0" collapsed="false">
      <c r="A403" s="157" t="s">
        <v>522</v>
      </c>
      <c r="B403" s="157" t="s">
        <v>523</v>
      </c>
      <c r="C403" s="158" t="s">
        <v>265</v>
      </c>
      <c r="D403" s="159" t="n">
        <v>65.78</v>
      </c>
      <c r="E403" s="160" t="n">
        <v>13</v>
      </c>
      <c r="F403" s="161"/>
      <c r="G403" s="160" t="n">
        <v>14</v>
      </c>
      <c r="H403" s="27" t="n">
        <f aca="false">G403-E403</f>
        <v>1</v>
      </c>
      <c r="I403" s="29" t="n">
        <f aca="false">D403*H403</f>
        <v>65.78</v>
      </c>
      <c r="J403" s="30" t="n">
        <f aca="false">D403*G403</f>
        <v>920.92</v>
      </c>
    </row>
    <row r="404" customFormat="false" ht="39" hidden="false" customHeight="true" outlineLevel="0" collapsed="false">
      <c r="A404" s="157" t="s">
        <v>524</v>
      </c>
      <c r="B404" s="157" t="s">
        <v>525</v>
      </c>
      <c r="C404" s="158" t="s">
        <v>265</v>
      </c>
      <c r="D404" s="159" t="n">
        <v>65.78</v>
      </c>
      <c r="E404" s="160" t="n">
        <v>25</v>
      </c>
      <c r="F404" s="161"/>
      <c r="G404" s="160" t="n">
        <v>19</v>
      </c>
      <c r="H404" s="27" t="n">
        <f aca="false">G404-E404</f>
        <v>-6</v>
      </c>
      <c r="I404" s="29" t="n">
        <f aca="false">D404*H404</f>
        <v>-394.68</v>
      </c>
      <c r="J404" s="30" t="n">
        <f aca="false">D404*G404</f>
        <v>1249.82</v>
      </c>
    </row>
    <row r="405" customFormat="false" ht="18.75" hidden="false" customHeight="false" outlineLevel="0" collapsed="false">
      <c r="A405" s="73"/>
      <c r="B405" s="74"/>
      <c r="C405" s="74"/>
      <c r="D405" s="75"/>
      <c r="E405" s="76"/>
      <c r="F405" s="133"/>
      <c r="G405" s="92"/>
      <c r="H405" s="92" t="s">
        <v>5</v>
      </c>
      <c r="I405" s="124" t="n">
        <f aca="false">SUM(I337:I404)</f>
        <v>10.43</v>
      </c>
      <c r="J405" s="131" t="n">
        <f aca="false">SUM(J337:J404)</f>
        <v>26903.11</v>
      </c>
      <c r="K405" s="89" t="n">
        <f aca="false">I405</f>
        <v>10.43</v>
      </c>
      <c r="L405" s="89" t="n">
        <f aca="false">J405</f>
        <v>26903.11</v>
      </c>
    </row>
    <row r="406" customFormat="false" ht="18.75" hidden="false" customHeight="false" outlineLevel="0" collapsed="false">
      <c r="A406" s="73"/>
      <c r="B406" s="74" t="s">
        <v>526</v>
      </c>
      <c r="C406" s="74"/>
      <c r="D406" s="75"/>
      <c r="E406" s="76"/>
      <c r="F406" s="133"/>
      <c r="G406" s="92"/>
      <c r="H406" s="92"/>
      <c r="I406" s="124"/>
      <c r="J406" s="131"/>
    </row>
    <row r="407" customFormat="false" ht="18.75" hidden="false" customHeight="false" outlineLevel="0" collapsed="false">
      <c r="A407" s="73"/>
      <c r="B407" s="74"/>
      <c r="C407" s="74"/>
      <c r="D407" s="75"/>
      <c r="E407" s="76"/>
      <c r="F407" s="133"/>
      <c r="G407" s="92"/>
      <c r="H407" s="92"/>
      <c r="I407" s="124"/>
      <c r="J407" s="131"/>
    </row>
    <row r="408" customFormat="false" ht="26.25" hidden="false" customHeight="true" outlineLevel="0" collapsed="false">
      <c r="A408" s="162" t="s">
        <v>527</v>
      </c>
      <c r="B408" s="163" t="s">
        <v>528</v>
      </c>
      <c r="C408" s="164" t="s">
        <v>25</v>
      </c>
      <c r="D408" s="165" t="n">
        <v>41.41</v>
      </c>
      <c r="E408" s="166" t="n">
        <v>6</v>
      </c>
      <c r="F408" s="167"/>
      <c r="G408" s="166" t="n">
        <v>6</v>
      </c>
      <c r="H408" s="168" t="n">
        <f aca="false">G408-E408</f>
        <v>0</v>
      </c>
      <c r="I408" s="169" t="n">
        <f aca="false">D408*H408</f>
        <v>0</v>
      </c>
      <c r="J408" s="170" t="n">
        <f aca="false">D408*G408</f>
        <v>248.46</v>
      </c>
    </row>
    <row r="409" customFormat="false" ht="26.25" hidden="false" customHeight="true" outlineLevel="0" collapsed="false">
      <c r="A409" s="162" t="s">
        <v>529</v>
      </c>
      <c r="B409" s="163" t="s">
        <v>530</v>
      </c>
      <c r="C409" s="164" t="s">
        <v>25</v>
      </c>
      <c r="D409" s="165" t="n">
        <v>41.41</v>
      </c>
      <c r="E409" s="166" t="n">
        <v>12</v>
      </c>
      <c r="F409" s="167"/>
      <c r="G409" s="166" t="n">
        <v>12</v>
      </c>
      <c r="H409" s="168" t="n">
        <f aca="false">G409-E409</f>
        <v>0</v>
      </c>
      <c r="I409" s="169" t="n">
        <f aca="false">D409*H409</f>
        <v>0</v>
      </c>
      <c r="J409" s="170" t="n">
        <f aca="false">D409*G409</f>
        <v>496.92</v>
      </c>
    </row>
    <row r="410" customFormat="false" ht="26.25" hidden="false" customHeight="true" outlineLevel="0" collapsed="false">
      <c r="A410" s="162" t="s">
        <v>531</v>
      </c>
      <c r="B410" s="163" t="s">
        <v>532</v>
      </c>
      <c r="C410" s="164" t="s">
        <v>25</v>
      </c>
      <c r="D410" s="165" t="n">
        <v>41.41</v>
      </c>
      <c r="E410" s="166" t="n">
        <v>12</v>
      </c>
      <c r="F410" s="167"/>
      <c r="G410" s="166" t="n">
        <v>12</v>
      </c>
      <c r="H410" s="168" t="n">
        <f aca="false">G410-E410</f>
        <v>0</v>
      </c>
      <c r="I410" s="169" t="n">
        <f aca="false">D410*H410</f>
        <v>0</v>
      </c>
      <c r="J410" s="170" t="n">
        <f aca="false">D410*G410</f>
        <v>496.92</v>
      </c>
    </row>
    <row r="411" customFormat="false" ht="26.25" hidden="false" customHeight="true" outlineLevel="0" collapsed="false">
      <c r="A411" s="162" t="s">
        <v>533</v>
      </c>
      <c r="B411" s="163" t="s">
        <v>534</v>
      </c>
      <c r="C411" s="164" t="s">
        <v>25</v>
      </c>
      <c r="D411" s="165" t="n">
        <v>35.04</v>
      </c>
      <c r="E411" s="166" t="n">
        <v>18</v>
      </c>
      <c r="F411" s="167"/>
      <c r="G411" s="166" t="n">
        <v>18</v>
      </c>
      <c r="H411" s="168" t="n">
        <f aca="false">G411-E411</f>
        <v>0</v>
      </c>
      <c r="I411" s="169" t="n">
        <f aca="false">D411*H411</f>
        <v>0</v>
      </c>
      <c r="J411" s="170" t="n">
        <f aca="false">D411*G411</f>
        <v>630.72</v>
      </c>
    </row>
    <row r="412" customFormat="false" ht="26.25" hidden="false" customHeight="true" outlineLevel="0" collapsed="false">
      <c r="A412" s="162" t="s">
        <v>535</v>
      </c>
      <c r="B412" s="163" t="s">
        <v>536</v>
      </c>
      <c r="C412" s="164" t="s">
        <v>25</v>
      </c>
      <c r="D412" s="165" t="n">
        <v>35.04</v>
      </c>
      <c r="E412" s="166" t="n">
        <v>6</v>
      </c>
      <c r="F412" s="167"/>
      <c r="G412" s="166" t="n">
        <v>6</v>
      </c>
      <c r="H412" s="168" t="n">
        <f aca="false">G412-E412</f>
        <v>0</v>
      </c>
      <c r="I412" s="169" t="n">
        <f aca="false">D412*H412</f>
        <v>0</v>
      </c>
      <c r="J412" s="170" t="n">
        <f aca="false">D412*G412</f>
        <v>210.24</v>
      </c>
    </row>
    <row r="413" customFormat="false" ht="26.25" hidden="false" customHeight="true" outlineLevel="0" collapsed="false">
      <c r="A413" s="162" t="s">
        <v>537</v>
      </c>
      <c r="B413" s="163" t="s">
        <v>530</v>
      </c>
      <c r="C413" s="164" t="s">
        <v>25</v>
      </c>
      <c r="D413" s="165" t="n">
        <v>41.41</v>
      </c>
      <c r="E413" s="166" t="n">
        <v>12</v>
      </c>
      <c r="F413" s="167"/>
      <c r="G413" s="166" t="n">
        <v>12</v>
      </c>
      <c r="H413" s="168" t="n">
        <f aca="false">G413-E413</f>
        <v>0</v>
      </c>
      <c r="I413" s="169" t="n">
        <f aca="false">D413*H413</f>
        <v>0</v>
      </c>
      <c r="J413" s="170" t="n">
        <f aca="false">D413*G413</f>
        <v>496.92</v>
      </c>
    </row>
    <row r="414" customFormat="false" ht="26.25" hidden="false" customHeight="true" outlineLevel="0" collapsed="false">
      <c r="A414" s="162" t="s">
        <v>538</v>
      </c>
      <c r="B414" s="163" t="s">
        <v>539</v>
      </c>
      <c r="C414" s="164" t="s">
        <v>25</v>
      </c>
      <c r="D414" s="165" t="n">
        <v>46.92</v>
      </c>
      <c r="E414" s="166" t="n">
        <v>6</v>
      </c>
      <c r="F414" s="167"/>
      <c r="G414" s="166" t="n">
        <v>6</v>
      </c>
      <c r="H414" s="168" t="n">
        <f aca="false">G414-E414</f>
        <v>0</v>
      </c>
      <c r="I414" s="169" t="n">
        <f aca="false">D414*H414</f>
        <v>0</v>
      </c>
      <c r="J414" s="170" t="n">
        <f aca="false">D414*G414</f>
        <v>281.52</v>
      </c>
    </row>
    <row r="415" customFormat="false" ht="39" hidden="false" customHeight="true" outlineLevel="0" collapsed="false">
      <c r="A415" s="162" t="s">
        <v>540</v>
      </c>
      <c r="B415" s="163" t="s">
        <v>541</v>
      </c>
      <c r="C415" s="164" t="s">
        <v>25</v>
      </c>
      <c r="D415" s="165" t="n">
        <v>35.04</v>
      </c>
      <c r="E415" s="166" t="n">
        <v>6</v>
      </c>
      <c r="F415" s="167"/>
      <c r="G415" s="166" t="n">
        <v>6</v>
      </c>
      <c r="H415" s="168" t="n">
        <f aca="false">G415-E415</f>
        <v>0</v>
      </c>
      <c r="I415" s="169" t="n">
        <f aca="false">D415*H415</f>
        <v>0</v>
      </c>
      <c r="J415" s="170" t="n">
        <f aca="false">D415*G415</f>
        <v>210.24</v>
      </c>
    </row>
    <row r="416" customFormat="false" ht="26.25" hidden="false" customHeight="true" outlineLevel="0" collapsed="false">
      <c r="A416" s="162" t="s">
        <v>542</v>
      </c>
      <c r="B416" s="163" t="s">
        <v>543</v>
      </c>
      <c r="C416" s="164" t="s">
        <v>25</v>
      </c>
      <c r="D416" s="165" t="n">
        <v>63.73</v>
      </c>
      <c r="E416" s="166" t="n">
        <v>6</v>
      </c>
      <c r="F416" s="167"/>
      <c r="G416" s="166" t="n">
        <v>6</v>
      </c>
      <c r="H416" s="168" t="n">
        <f aca="false">G416-E416</f>
        <v>0</v>
      </c>
      <c r="I416" s="169" t="n">
        <f aca="false">D416*H416</f>
        <v>0</v>
      </c>
      <c r="J416" s="170" t="n">
        <f aca="false">D416*G416</f>
        <v>382.38</v>
      </c>
    </row>
    <row r="417" customFormat="false" ht="26.25" hidden="false" customHeight="true" outlineLevel="0" collapsed="false">
      <c r="A417" s="162" t="s">
        <v>544</v>
      </c>
      <c r="B417" s="163" t="s">
        <v>545</v>
      </c>
      <c r="C417" s="164" t="s">
        <v>25</v>
      </c>
      <c r="D417" s="165" t="n">
        <v>63.73</v>
      </c>
      <c r="E417" s="166" t="n">
        <v>4</v>
      </c>
      <c r="F417" s="167"/>
      <c r="G417" s="166" t="n">
        <v>4</v>
      </c>
      <c r="H417" s="168" t="n">
        <f aca="false">G417-E417</f>
        <v>0</v>
      </c>
      <c r="I417" s="169" t="n">
        <f aca="false">D417*H417</f>
        <v>0</v>
      </c>
      <c r="J417" s="170" t="n">
        <f aca="false">D417*G417</f>
        <v>254.92</v>
      </c>
    </row>
    <row r="418" customFormat="false" ht="26.25" hidden="false" customHeight="true" outlineLevel="0" collapsed="false">
      <c r="A418" s="162" t="s">
        <v>546</v>
      </c>
      <c r="B418" s="163" t="s">
        <v>547</v>
      </c>
      <c r="C418" s="164" t="s">
        <v>25</v>
      </c>
      <c r="D418" s="165" t="n">
        <v>63.73</v>
      </c>
      <c r="E418" s="166" t="n">
        <v>3</v>
      </c>
      <c r="F418" s="167"/>
      <c r="G418" s="166" t="n">
        <v>3</v>
      </c>
      <c r="H418" s="168" t="n">
        <f aca="false">G418-E418</f>
        <v>0</v>
      </c>
      <c r="I418" s="169" t="n">
        <f aca="false">D418*H418</f>
        <v>0</v>
      </c>
      <c r="J418" s="170" t="n">
        <f aca="false">D418*G418</f>
        <v>191.19</v>
      </c>
    </row>
    <row r="419" customFormat="false" ht="26.25" hidden="false" customHeight="true" outlineLevel="0" collapsed="false">
      <c r="A419" s="162" t="s">
        <v>548</v>
      </c>
      <c r="B419" s="163" t="s">
        <v>549</v>
      </c>
      <c r="C419" s="164" t="s">
        <v>25</v>
      </c>
      <c r="D419" s="165" t="n">
        <v>132.99</v>
      </c>
      <c r="E419" s="166" t="n">
        <v>2</v>
      </c>
      <c r="F419" s="167"/>
      <c r="G419" s="166" t="n">
        <v>2</v>
      </c>
      <c r="H419" s="168" t="n">
        <f aca="false">G419-E419</f>
        <v>0</v>
      </c>
      <c r="I419" s="169" t="n">
        <f aca="false">D419*H419</f>
        <v>0</v>
      </c>
      <c r="J419" s="170" t="n">
        <f aca="false">D419*G419</f>
        <v>265.98</v>
      </c>
    </row>
    <row r="420" customFormat="false" ht="26.25" hidden="false" customHeight="true" outlineLevel="0" collapsed="false">
      <c r="A420" s="162" t="s">
        <v>550</v>
      </c>
      <c r="B420" s="163" t="s">
        <v>551</v>
      </c>
      <c r="C420" s="164" t="s">
        <v>25</v>
      </c>
      <c r="D420" s="165" t="n">
        <v>63.73</v>
      </c>
      <c r="E420" s="166" t="n">
        <v>3</v>
      </c>
      <c r="F420" s="167"/>
      <c r="G420" s="166" t="n">
        <v>3</v>
      </c>
      <c r="H420" s="168" t="n">
        <f aca="false">G420-E420</f>
        <v>0</v>
      </c>
      <c r="I420" s="169" t="n">
        <f aca="false">D420*H420</f>
        <v>0</v>
      </c>
      <c r="J420" s="170" t="n">
        <f aca="false">D420*G420</f>
        <v>191.19</v>
      </c>
    </row>
    <row r="421" customFormat="false" ht="18.75" hidden="false" customHeight="false" outlineLevel="0" collapsed="false">
      <c r="A421" s="73"/>
      <c r="B421" s="74"/>
      <c r="C421" s="74"/>
      <c r="D421" s="75"/>
      <c r="E421" s="76"/>
      <c r="F421" s="133"/>
      <c r="G421" s="92"/>
      <c r="H421" s="92" t="s">
        <v>5</v>
      </c>
      <c r="I421" s="124" t="n">
        <f aca="false">SUM(I408:I420)</f>
        <v>0</v>
      </c>
      <c r="J421" s="131" t="n">
        <f aca="false">SUM(J408:J420)</f>
        <v>4357.6</v>
      </c>
      <c r="K421" s="89" t="n">
        <f aca="false">I421</f>
        <v>0</v>
      </c>
      <c r="L421" s="89" t="n">
        <f aca="false">J421</f>
        <v>4357.6</v>
      </c>
    </row>
    <row r="422" customFormat="false" ht="18.75" hidden="false" customHeight="false" outlineLevel="0" collapsed="false">
      <c r="A422" s="73"/>
      <c r="B422" s="74" t="s">
        <v>552</v>
      </c>
      <c r="C422" s="74"/>
      <c r="D422" s="75"/>
      <c r="E422" s="76"/>
      <c r="F422" s="133"/>
      <c r="G422" s="92"/>
      <c r="H422" s="92"/>
      <c r="I422" s="124"/>
      <c r="J422" s="131"/>
    </row>
    <row r="423" customFormat="false" ht="18.75" hidden="false" customHeight="false" outlineLevel="0" collapsed="false">
      <c r="A423" s="73"/>
      <c r="B423" s="74"/>
      <c r="C423" s="74"/>
      <c r="D423" s="75"/>
      <c r="E423" s="76"/>
      <c r="F423" s="133"/>
      <c r="G423" s="92"/>
      <c r="H423" s="92"/>
      <c r="I423" s="124"/>
      <c r="J423" s="131"/>
    </row>
    <row r="424" customFormat="false" ht="26.25" hidden="false" customHeight="true" outlineLevel="0" collapsed="false">
      <c r="A424" s="171" t="s">
        <v>553</v>
      </c>
      <c r="B424" s="172" t="s">
        <v>554</v>
      </c>
      <c r="C424" s="173" t="s">
        <v>234</v>
      </c>
      <c r="D424" s="174" t="n">
        <v>65.78</v>
      </c>
      <c r="E424" s="175" t="n">
        <v>6</v>
      </c>
      <c r="F424" s="176"/>
      <c r="G424" s="175" t="n">
        <v>6</v>
      </c>
      <c r="H424" s="82" t="n">
        <f aca="false">G424-E424</f>
        <v>0</v>
      </c>
      <c r="I424" s="83" t="n">
        <f aca="false">D424*H424</f>
        <v>0</v>
      </c>
      <c r="J424" s="125" t="n">
        <f aca="false">D424*G424</f>
        <v>394.68</v>
      </c>
    </row>
    <row r="425" customFormat="false" ht="26.25" hidden="false" customHeight="true" outlineLevel="0" collapsed="false">
      <c r="A425" s="171" t="s">
        <v>555</v>
      </c>
      <c r="B425" s="172" t="s">
        <v>556</v>
      </c>
      <c r="C425" s="173" t="s">
        <v>234</v>
      </c>
      <c r="D425" s="174" t="n">
        <v>29.2</v>
      </c>
      <c r="E425" s="175" t="n">
        <v>4</v>
      </c>
      <c r="F425" s="176"/>
      <c r="G425" s="175" t="n">
        <v>4</v>
      </c>
      <c r="H425" s="82" t="n">
        <f aca="false">G425-E425</f>
        <v>0</v>
      </c>
      <c r="I425" s="83" t="n">
        <f aca="false">D425*H425</f>
        <v>0</v>
      </c>
      <c r="J425" s="125" t="n">
        <f aca="false">D425*G425</f>
        <v>116.8</v>
      </c>
    </row>
    <row r="426" customFormat="false" ht="26.25" hidden="false" customHeight="true" outlineLevel="0" collapsed="false">
      <c r="A426" s="171" t="s">
        <v>557</v>
      </c>
      <c r="B426" s="172" t="s">
        <v>558</v>
      </c>
      <c r="C426" s="173" t="s">
        <v>234</v>
      </c>
      <c r="D426" s="174" t="n">
        <v>63.73</v>
      </c>
      <c r="E426" s="175" t="n">
        <v>9</v>
      </c>
      <c r="F426" s="176"/>
      <c r="G426" s="175" t="n">
        <v>9</v>
      </c>
      <c r="H426" s="82" t="n">
        <f aca="false">G426-E426</f>
        <v>0</v>
      </c>
      <c r="I426" s="83" t="n">
        <f aca="false">D426*H426</f>
        <v>0</v>
      </c>
      <c r="J426" s="125" t="n">
        <f aca="false">D426*G426</f>
        <v>573.57</v>
      </c>
    </row>
    <row r="427" customFormat="false" ht="26.25" hidden="false" customHeight="true" outlineLevel="0" collapsed="false">
      <c r="A427" s="171" t="s">
        <v>559</v>
      </c>
      <c r="B427" s="172" t="s">
        <v>560</v>
      </c>
      <c r="C427" s="173" t="s">
        <v>234</v>
      </c>
      <c r="D427" s="174" t="n">
        <v>63.73</v>
      </c>
      <c r="E427" s="175" t="n">
        <v>3</v>
      </c>
      <c r="F427" s="176"/>
      <c r="G427" s="175" t="n">
        <v>3</v>
      </c>
      <c r="H427" s="82" t="n">
        <f aca="false">G427-E427</f>
        <v>0</v>
      </c>
      <c r="I427" s="83" t="n">
        <f aca="false">D427*H427</f>
        <v>0</v>
      </c>
      <c r="J427" s="125" t="n">
        <f aca="false">D427*G427</f>
        <v>191.19</v>
      </c>
    </row>
    <row r="428" customFormat="false" ht="26.25" hidden="false" customHeight="true" outlineLevel="0" collapsed="false">
      <c r="A428" s="171" t="s">
        <v>561</v>
      </c>
      <c r="B428" s="172" t="s">
        <v>562</v>
      </c>
      <c r="C428" s="173" t="s">
        <v>234</v>
      </c>
      <c r="D428" s="174" t="n">
        <v>65.78</v>
      </c>
      <c r="E428" s="175" t="n">
        <v>3</v>
      </c>
      <c r="F428" s="176"/>
      <c r="G428" s="175" t="n">
        <v>3</v>
      </c>
      <c r="H428" s="82" t="n">
        <f aca="false">G428-E428</f>
        <v>0</v>
      </c>
      <c r="I428" s="83" t="n">
        <f aca="false">D428*H428</f>
        <v>0</v>
      </c>
      <c r="J428" s="125" t="n">
        <f aca="false">D428*G428</f>
        <v>197.34</v>
      </c>
    </row>
    <row r="429" customFormat="false" ht="17.25" hidden="false" customHeight="true" outlineLevel="0" collapsed="false">
      <c r="A429" s="171" t="s">
        <v>563</v>
      </c>
      <c r="B429" s="172" t="s">
        <v>564</v>
      </c>
      <c r="C429" s="173" t="s">
        <v>234</v>
      </c>
      <c r="D429" s="177" t="n">
        <v>46.74</v>
      </c>
      <c r="E429" s="175" t="n">
        <v>0</v>
      </c>
      <c r="F429" s="178"/>
      <c r="G429" s="175" t="n">
        <v>1</v>
      </c>
      <c r="H429" s="82" t="n">
        <f aca="false">G429-E429</f>
        <v>1</v>
      </c>
      <c r="I429" s="83" t="n">
        <f aca="false">D429*H429</f>
        <v>46.74</v>
      </c>
      <c r="J429" s="125" t="n">
        <f aca="false">D429*G429</f>
        <v>46.74</v>
      </c>
    </row>
    <row r="430" customFormat="false" ht="26.25" hidden="false" customHeight="true" outlineLevel="0" collapsed="false">
      <c r="A430" s="171" t="s">
        <v>565</v>
      </c>
      <c r="B430" s="172" t="s">
        <v>566</v>
      </c>
      <c r="C430" s="173" t="s">
        <v>234</v>
      </c>
      <c r="D430" s="174" t="n">
        <v>3</v>
      </c>
      <c r="E430" s="175" t="n">
        <v>2</v>
      </c>
      <c r="F430" s="178"/>
      <c r="G430" s="175" t="n">
        <v>2</v>
      </c>
      <c r="H430" s="82" t="n">
        <f aca="false">G430-E430</f>
        <v>0</v>
      </c>
      <c r="I430" s="83" t="n">
        <f aca="false">D430*H430</f>
        <v>0</v>
      </c>
      <c r="J430" s="125" t="n">
        <f aca="false">D430*G430</f>
        <v>6</v>
      </c>
    </row>
    <row r="431" customFormat="false" ht="26.25" hidden="false" customHeight="true" outlineLevel="0" collapsed="false">
      <c r="A431" s="171" t="s">
        <v>567</v>
      </c>
      <c r="B431" s="172" t="s">
        <v>568</v>
      </c>
      <c r="C431" s="173" t="s">
        <v>234</v>
      </c>
      <c r="D431" s="174" t="n">
        <v>41.19</v>
      </c>
      <c r="E431" s="175" t="n">
        <v>1</v>
      </c>
      <c r="F431" s="178"/>
      <c r="G431" s="175" t="n">
        <v>1</v>
      </c>
      <c r="H431" s="82" t="n">
        <f aca="false">G431-E431</f>
        <v>0</v>
      </c>
      <c r="I431" s="83" t="n">
        <f aca="false">D431*H431</f>
        <v>0</v>
      </c>
      <c r="J431" s="125" t="n">
        <f aca="false">D431*G431</f>
        <v>41.19</v>
      </c>
    </row>
    <row r="432" customFormat="false" ht="26.25" hidden="false" customHeight="true" outlineLevel="0" collapsed="false">
      <c r="A432" s="171" t="s">
        <v>569</v>
      </c>
      <c r="B432" s="172" t="s">
        <v>570</v>
      </c>
      <c r="C432" s="173" t="s">
        <v>234</v>
      </c>
      <c r="D432" s="174" t="n">
        <v>41.19</v>
      </c>
      <c r="E432" s="175" t="n">
        <v>8</v>
      </c>
      <c r="F432" s="178"/>
      <c r="G432" s="175" t="n">
        <v>8</v>
      </c>
      <c r="H432" s="82" t="n">
        <f aca="false">G432-E432</f>
        <v>0</v>
      </c>
      <c r="I432" s="83" t="n">
        <f aca="false">D432*H432</f>
        <v>0</v>
      </c>
      <c r="J432" s="125" t="n">
        <f aca="false">D432*G432</f>
        <v>329.52</v>
      </c>
    </row>
    <row r="433" customFormat="false" ht="26.25" hidden="false" customHeight="true" outlineLevel="0" collapsed="false">
      <c r="A433" s="171" t="s">
        <v>571</v>
      </c>
      <c r="B433" s="172" t="s">
        <v>572</v>
      </c>
      <c r="C433" s="173" t="s">
        <v>234</v>
      </c>
      <c r="D433" s="174" t="n">
        <v>41.19</v>
      </c>
      <c r="E433" s="175" t="n">
        <v>7</v>
      </c>
      <c r="F433" s="178"/>
      <c r="G433" s="175" t="n">
        <v>7</v>
      </c>
      <c r="H433" s="82" t="n">
        <f aca="false">G433-E433</f>
        <v>0</v>
      </c>
      <c r="I433" s="83" t="n">
        <f aca="false">D433*H433</f>
        <v>0</v>
      </c>
      <c r="J433" s="125" t="n">
        <f aca="false">D433*G433</f>
        <v>288.33</v>
      </c>
    </row>
    <row r="434" customFormat="false" ht="39" hidden="false" customHeight="true" outlineLevel="0" collapsed="false">
      <c r="A434" s="171" t="s">
        <v>573</v>
      </c>
      <c r="B434" s="172" t="s">
        <v>574</v>
      </c>
      <c r="C434" s="173" t="s">
        <v>234</v>
      </c>
      <c r="D434" s="174" t="n">
        <v>63.73</v>
      </c>
      <c r="E434" s="175" t="n">
        <v>3</v>
      </c>
      <c r="F434" s="178"/>
      <c r="G434" s="175" t="n">
        <v>3</v>
      </c>
      <c r="H434" s="82" t="n">
        <f aca="false">G434-E434</f>
        <v>0</v>
      </c>
      <c r="I434" s="83" t="n">
        <f aca="false">D434*H434</f>
        <v>0</v>
      </c>
      <c r="J434" s="125" t="n">
        <f aca="false">D434*G434</f>
        <v>191.19</v>
      </c>
    </row>
    <row r="435" customFormat="false" ht="26.25" hidden="false" customHeight="true" outlineLevel="0" collapsed="false">
      <c r="A435" s="171" t="s">
        <v>575</v>
      </c>
      <c r="B435" s="172" t="s">
        <v>576</v>
      </c>
      <c r="C435" s="173" t="s">
        <v>234</v>
      </c>
      <c r="D435" s="174" t="n">
        <v>90.27</v>
      </c>
      <c r="E435" s="175" t="n">
        <v>6</v>
      </c>
      <c r="F435" s="176"/>
      <c r="G435" s="175" t="n">
        <v>6</v>
      </c>
      <c r="H435" s="82" t="n">
        <f aca="false">G435-E435</f>
        <v>0</v>
      </c>
      <c r="I435" s="83" t="n">
        <f aca="false">D435*H435</f>
        <v>0</v>
      </c>
      <c r="J435" s="125" t="n">
        <f aca="false">D435*G435</f>
        <v>541.62</v>
      </c>
    </row>
    <row r="436" customFormat="false" ht="39" hidden="false" customHeight="true" outlineLevel="0" collapsed="false">
      <c r="A436" s="171" t="s">
        <v>577</v>
      </c>
      <c r="B436" s="172" t="s">
        <v>578</v>
      </c>
      <c r="C436" s="173" t="s">
        <v>234</v>
      </c>
      <c r="D436" s="174" t="n">
        <v>65.78</v>
      </c>
      <c r="E436" s="175" t="n">
        <v>12</v>
      </c>
      <c r="F436" s="176"/>
      <c r="G436" s="175" t="n">
        <v>12</v>
      </c>
      <c r="H436" s="82" t="n">
        <f aca="false">G436-E436</f>
        <v>0</v>
      </c>
      <c r="I436" s="83" t="n">
        <f aca="false">D436*H436</f>
        <v>0</v>
      </c>
      <c r="J436" s="125" t="n">
        <f aca="false">D436*G436</f>
        <v>789.36</v>
      </c>
    </row>
    <row r="437" customFormat="false" ht="26.25" hidden="false" customHeight="true" outlineLevel="0" collapsed="false">
      <c r="A437" s="171" t="s">
        <v>579</v>
      </c>
      <c r="B437" s="172" t="s">
        <v>580</v>
      </c>
      <c r="C437" s="173" t="s">
        <v>234</v>
      </c>
      <c r="D437" s="174" t="n">
        <v>47.07</v>
      </c>
      <c r="E437" s="175" t="n">
        <v>12</v>
      </c>
      <c r="F437" s="176"/>
      <c r="G437" s="175" t="n">
        <v>12</v>
      </c>
      <c r="H437" s="82" t="n">
        <f aca="false">G437-E437</f>
        <v>0</v>
      </c>
      <c r="I437" s="83" t="n">
        <f aca="false">D437*H437</f>
        <v>0</v>
      </c>
      <c r="J437" s="125" t="n">
        <f aca="false">D437*G437</f>
        <v>564.84</v>
      </c>
    </row>
    <row r="438" customFormat="false" ht="26.25" hidden="false" customHeight="true" outlineLevel="0" collapsed="false">
      <c r="A438" s="171" t="s">
        <v>581</v>
      </c>
      <c r="B438" s="172" t="s">
        <v>582</v>
      </c>
      <c r="C438" s="173" t="s">
        <v>234</v>
      </c>
      <c r="D438" s="174" t="n">
        <v>47.07</v>
      </c>
      <c r="E438" s="175" t="n">
        <v>7</v>
      </c>
      <c r="F438" s="176"/>
      <c r="G438" s="175" t="n">
        <v>7</v>
      </c>
      <c r="H438" s="82" t="n">
        <f aca="false">G438-E438</f>
        <v>0</v>
      </c>
      <c r="I438" s="83" t="n">
        <f aca="false">D438*H438</f>
        <v>0</v>
      </c>
      <c r="J438" s="125" t="n">
        <f aca="false">D438*G438</f>
        <v>329.49</v>
      </c>
    </row>
    <row r="439" customFormat="false" ht="26.25" hidden="false" customHeight="true" outlineLevel="0" collapsed="false">
      <c r="A439" s="171" t="s">
        <v>583</v>
      </c>
      <c r="B439" s="172" t="s">
        <v>584</v>
      </c>
      <c r="C439" s="173" t="s">
        <v>234</v>
      </c>
      <c r="D439" s="174" t="n">
        <v>65.78</v>
      </c>
      <c r="E439" s="175" t="n">
        <v>7</v>
      </c>
      <c r="F439" s="176"/>
      <c r="G439" s="175" t="n">
        <v>7</v>
      </c>
      <c r="H439" s="82" t="n">
        <f aca="false">G439-E439</f>
        <v>0</v>
      </c>
      <c r="I439" s="83" t="n">
        <f aca="false">D439*H439</f>
        <v>0</v>
      </c>
      <c r="J439" s="125" t="n">
        <f aca="false">D439*G439</f>
        <v>460.46</v>
      </c>
    </row>
    <row r="440" customFormat="false" ht="26.25" hidden="false" customHeight="true" outlineLevel="0" collapsed="false">
      <c r="A440" s="171" t="s">
        <v>585</v>
      </c>
      <c r="B440" s="172" t="s">
        <v>586</v>
      </c>
      <c r="C440" s="173" t="s">
        <v>234</v>
      </c>
      <c r="D440" s="174" t="n">
        <v>65.78</v>
      </c>
      <c r="E440" s="175" t="n">
        <v>18</v>
      </c>
      <c r="F440" s="176"/>
      <c r="G440" s="175" t="n">
        <v>18</v>
      </c>
      <c r="H440" s="82" t="n">
        <f aca="false">G440-E440</f>
        <v>0</v>
      </c>
      <c r="I440" s="83" t="n">
        <f aca="false">D440*H440</f>
        <v>0</v>
      </c>
      <c r="J440" s="125" t="n">
        <f aca="false">D440*G440</f>
        <v>1184.04</v>
      </c>
    </row>
    <row r="441" customFormat="false" ht="26.25" hidden="false" customHeight="true" outlineLevel="0" collapsed="false">
      <c r="A441" s="171" t="s">
        <v>587</v>
      </c>
      <c r="B441" s="172" t="s">
        <v>588</v>
      </c>
      <c r="C441" s="173" t="s">
        <v>234</v>
      </c>
      <c r="D441" s="174" t="n">
        <v>65.78</v>
      </c>
      <c r="E441" s="175" t="n">
        <v>3</v>
      </c>
      <c r="F441" s="176"/>
      <c r="G441" s="175" t="n">
        <v>3</v>
      </c>
      <c r="H441" s="82" t="n">
        <f aca="false">G441-E441</f>
        <v>0</v>
      </c>
      <c r="I441" s="83" t="n">
        <f aca="false">D441*H441</f>
        <v>0</v>
      </c>
      <c r="J441" s="125" t="n">
        <f aca="false">D441*G441</f>
        <v>197.34</v>
      </c>
    </row>
    <row r="442" customFormat="false" ht="26.25" hidden="false" customHeight="true" outlineLevel="0" collapsed="false">
      <c r="A442" s="171" t="s">
        <v>589</v>
      </c>
      <c r="B442" s="172" t="s">
        <v>590</v>
      </c>
      <c r="C442" s="173" t="s">
        <v>234</v>
      </c>
      <c r="D442" s="174" t="n">
        <v>65.78</v>
      </c>
      <c r="E442" s="175" t="n">
        <v>5</v>
      </c>
      <c r="F442" s="176"/>
      <c r="G442" s="175" t="n">
        <v>5</v>
      </c>
      <c r="H442" s="82" t="n">
        <f aca="false">G442-E442</f>
        <v>0</v>
      </c>
      <c r="I442" s="83" t="n">
        <f aca="false">D442*H442</f>
        <v>0</v>
      </c>
      <c r="J442" s="125" t="n">
        <f aca="false">D442*G442</f>
        <v>328.9</v>
      </c>
    </row>
    <row r="443" customFormat="false" ht="18.75" hidden="false" customHeight="false" outlineLevel="0" collapsed="false">
      <c r="A443" s="73"/>
      <c r="B443" s="74"/>
      <c r="C443" s="74"/>
      <c r="D443" s="75"/>
      <c r="E443" s="76"/>
      <c r="F443" s="133"/>
      <c r="G443" s="92"/>
      <c r="H443" s="92" t="s">
        <v>5</v>
      </c>
      <c r="I443" s="124" t="n">
        <f aca="false">SUM(I424:I442)</f>
        <v>46.74</v>
      </c>
      <c r="J443" s="131" t="n">
        <f aca="false">SUM(J424:J442)</f>
        <v>6772.6</v>
      </c>
      <c r="K443" s="89" t="n">
        <f aca="false">I443</f>
        <v>46.74</v>
      </c>
      <c r="L443" s="89" t="n">
        <f aca="false">J443</f>
        <v>6772.6</v>
      </c>
    </row>
    <row r="444" customFormat="false" ht="18.75" hidden="false" customHeight="false" outlineLevel="0" collapsed="false">
      <c r="A444" s="73"/>
      <c r="B444" s="74" t="s">
        <v>591</v>
      </c>
      <c r="C444" s="74"/>
      <c r="D444" s="75"/>
      <c r="E444" s="76"/>
      <c r="F444" s="133"/>
      <c r="G444" s="92"/>
      <c r="H444" s="92"/>
      <c r="I444" s="124"/>
      <c r="J444" s="131"/>
    </row>
    <row r="445" customFormat="false" ht="18.75" hidden="false" customHeight="false" outlineLevel="0" collapsed="false">
      <c r="A445" s="73"/>
      <c r="B445" s="74"/>
      <c r="C445" s="74"/>
      <c r="D445" s="75"/>
      <c r="E445" s="76"/>
      <c r="F445" s="133"/>
      <c r="G445" s="92"/>
      <c r="H445" s="92"/>
      <c r="I445" s="124"/>
      <c r="J445" s="131"/>
    </row>
    <row r="446" customFormat="false" ht="26.25" hidden="false" customHeight="true" outlineLevel="0" collapsed="false">
      <c r="A446" s="179" t="s">
        <v>592</v>
      </c>
      <c r="B446" s="180" t="s">
        <v>593</v>
      </c>
      <c r="C446" s="181" t="s">
        <v>237</v>
      </c>
      <c r="D446" s="182" t="n">
        <v>23.71</v>
      </c>
      <c r="E446" s="183" t="n">
        <v>4</v>
      </c>
      <c r="F446" s="184"/>
      <c r="G446" s="183" t="n">
        <v>4</v>
      </c>
      <c r="H446" s="61" t="n">
        <f aca="false">G446-E446</f>
        <v>0</v>
      </c>
      <c r="I446" s="62" t="n">
        <f aca="false">D446*H446</f>
        <v>0</v>
      </c>
      <c r="J446" s="122" t="n">
        <f aca="false">D446*G446</f>
        <v>94.84</v>
      </c>
    </row>
    <row r="447" customFormat="false" ht="26.25" hidden="false" customHeight="true" outlineLevel="0" collapsed="false">
      <c r="A447" s="179" t="s">
        <v>594</v>
      </c>
      <c r="B447" s="180" t="s">
        <v>593</v>
      </c>
      <c r="C447" s="181" t="s">
        <v>237</v>
      </c>
      <c r="D447" s="185" t="n">
        <v>23.71</v>
      </c>
      <c r="E447" s="183" t="n">
        <v>0</v>
      </c>
      <c r="F447" s="184"/>
      <c r="G447" s="183" t="n">
        <v>2</v>
      </c>
      <c r="H447" s="61" t="n">
        <f aca="false">G447-E447</f>
        <v>2</v>
      </c>
      <c r="I447" s="62" t="n">
        <f aca="false">D447*H447</f>
        <v>47.42</v>
      </c>
      <c r="J447" s="122" t="n">
        <f aca="false">D447*G447</f>
        <v>47.42</v>
      </c>
    </row>
    <row r="448" customFormat="false" ht="26.25" hidden="false" customHeight="true" outlineLevel="0" collapsed="false">
      <c r="A448" s="179" t="s">
        <v>595</v>
      </c>
      <c r="B448" s="180" t="s">
        <v>596</v>
      </c>
      <c r="C448" s="181" t="s">
        <v>237</v>
      </c>
      <c r="D448" s="182" t="n">
        <v>23.71</v>
      </c>
      <c r="E448" s="183" t="n">
        <v>4</v>
      </c>
      <c r="F448" s="184"/>
      <c r="G448" s="183" t="n">
        <v>4</v>
      </c>
      <c r="H448" s="61" t="n">
        <f aca="false">G448-E448</f>
        <v>0</v>
      </c>
      <c r="I448" s="62" t="n">
        <f aca="false">D448*H448</f>
        <v>0</v>
      </c>
      <c r="J448" s="122" t="n">
        <f aca="false">D448*G448</f>
        <v>94.84</v>
      </c>
    </row>
    <row r="449" customFormat="false" ht="26.25" hidden="false" customHeight="true" outlineLevel="0" collapsed="false">
      <c r="A449" s="179" t="s">
        <v>597</v>
      </c>
      <c r="B449" s="180" t="s">
        <v>598</v>
      </c>
      <c r="C449" s="181" t="s">
        <v>237</v>
      </c>
      <c r="D449" s="182" t="n">
        <v>23.71</v>
      </c>
      <c r="E449" s="183" t="n">
        <v>4</v>
      </c>
      <c r="F449" s="184"/>
      <c r="G449" s="183" t="n">
        <v>4</v>
      </c>
      <c r="H449" s="61" t="n">
        <f aca="false">G449-E449</f>
        <v>0</v>
      </c>
      <c r="I449" s="62" t="n">
        <f aca="false">D449*H449</f>
        <v>0</v>
      </c>
      <c r="J449" s="122" t="n">
        <f aca="false">D449*G449</f>
        <v>94.84</v>
      </c>
    </row>
    <row r="450" customFormat="false" ht="26.25" hidden="false" customHeight="true" outlineLevel="0" collapsed="false">
      <c r="A450" s="179" t="s">
        <v>599</v>
      </c>
      <c r="B450" s="180" t="s">
        <v>600</v>
      </c>
      <c r="C450" s="181" t="s">
        <v>237</v>
      </c>
      <c r="D450" s="182" t="n">
        <v>29.2</v>
      </c>
      <c r="E450" s="183" t="n">
        <v>25</v>
      </c>
      <c r="F450" s="184"/>
      <c r="G450" s="183" t="n">
        <v>20</v>
      </c>
      <c r="H450" s="61" t="n">
        <f aca="false">G450-E450</f>
        <v>-5</v>
      </c>
      <c r="I450" s="62" t="n">
        <f aca="false">D450*H450</f>
        <v>-146</v>
      </c>
      <c r="J450" s="122" t="n">
        <f aca="false">D450*G450</f>
        <v>584</v>
      </c>
    </row>
    <row r="451" customFormat="false" ht="26.25" hidden="false" customHeight="true" outlineLevel="0" collapsed="false">
      <c r="A451" s="179" t="s">
        <v>601</v>
      </c>
      <c r="B451" s="180" t="s">
        <v>602</v>
      </c>
      <c r="C451" s="181" t="s">
        <v>237</v>
      </c>
      <c r="D451" s="182" t="n">
        <v>29.2</v>
      </c>
      <c r="E451" s="183" t="n">
        <v>3</v>
      </c>
      <c r="F451" s="184"/>
      <c r="G451" s="183" t="n">
        <v>3</v>
      </c>
      <c r="H451" s="61" t="n">
        <f aca="false">G451-E451</f>
        <v>0</v>
      </c>
      <c r="I451" s="62" t="n">
        <f aca="false">D451*H451</f>
        <v>0</v>
      </c>
      <c r="J451" s="122" t="n">
        <f aca="false">D451*G451</f>
        <v>87.6</v>
      </c>
    </row>
    <row r="452" customFormat="false" ht="26.25" hidden="false" customHeight="true" outlineLevel="0" collapsed="false">
      <c r="A452" s="179" t="s">
        <v>603</v>
      </c>
      <c r="B452" s="180" t="s">
        <v>604</v>
      </c>
      <c r="C452" s="181" t="s">
        <v>237</v>
      </c>
      <c r="D452" s="182" t="n">
        <v>29.2</v>
      </c>
      <c r="E452" s="183" t="n">
        <v>36</v>
      </c>
      <c r="F452" s="184"/>
      <c r="G452" s="183" t="n">
        <v>34</v>
      </c>
      <c r="H452" s="61" t="n">
        <f aca="false">G452-E452</f>
        <v>-2</v>
      </c>
      <c r="I452" s="62" t="n">
        <f aca="false">D452*H452</f>
        <v>-58.4</v>
      </c>
      <c r="J452" s="122" t="n">
        <f aca="false">D452*G452</f>
        <v>992.8</v>
      </c>
    </row>
    <row r="453" customFormat="false" ht="26.25" hidden="false" customHeight="true" outlineLevel="0" collapsed="false">
      <c r="A453" s="179" t="s">
        <v>605</v>
      </c>
      <c r="B453" s="180" t="s">
        <v>606</v>
      </c>
      <c r="C453" s="181" t="s">
        <v>237</v>
      </c>
      <c r="D453" s="182" t="n">
        <v>29.2</v>
      </c>
      <c r="E453" s="183" t="n">
        <v>2</v>
      </c>
      <c r="F453" s="184"/>
      <c r="G453" s="183" t="n">
        <v>2</v>
      </c>
      <c r="H453" s="61" t="n">
        <f aca="false">G453-E453</f>
        <v>0</v>
      </c>
      <c r="I453" s="62" t="n">
        <f aca="false">D453*H453</f>
        <v>0</v>
      </c>
      <c r="J453" s="122" t="n">
        <f aca="false">D453*G453</f>
        <v>58.4</v>
      </c>
    </row>
    <row r="454" customFormat="false" ht="26.25" hidden="false" customHeight="true" outlineLevel="0" collapsed="false">
      <c r="A454" s="179" t="s">
        <v>607</v>
      </c>
      <c r="B454" s="180" t="s">
        <v>608</v>
      </c>
      <c r="C454" s="181" t="s">
        <v>237</v>
      </c>
      <c r="D454" s="182" t="n">
        <v>29.2</v>
      </c>
      <c r="E454" s="183" t="n">
        <v>17</v>
      </c>
      <c r="F454" s="184"/>
      <c r="G454" s="183" t="n">
        <v>17</v>
      </c>
      <c r="H454" s="61" t="n">
        <f aca="false">G454-E454</f>
        <v>0</v>
      </c>
      <c r="I454" s="62" t="n">
        <f aca="false">D454*H454</f>
        <v>0</v>
      </c>
      <c r="J454" s="122" t="n">
        <f aca="false">D454*G454</f>
        <v>496.4</v>
      </c>
    </row>
    <row r="455" customFormat="false" ht="26.25" hidden="false" customHeight="true" outlineLevel="0" collapsed="false">
      <c r="A455" s="179" t="s">
        <v>609</v>
      </c>
      <c r="B455" s="180" t="s">
        <v>610</v>
      </c>
      <c r="C455" s="181" t="s">
        <v>237</v>
      </c>
      <c r="D455" s="182" t="n">
        <v>29.2</v>
      </c>
      <c r="E455" s="183" t="n">
        <v>25</v>
      </c>
      <c r="F455" s="184"/>
      <c r="G455" s="183" t="n">
        <v>25</v>
      </c>
      <c r="H455" s="61" t="n">
        <f aca="false">G455-E455</f>
        <v>0</v>
      </c>
      <c r="I455" s="62" t="n">
        <f aca="false">D455*H455</f>
        <v>0</v>
      </c>
      <c r="J455" s="122" t="n">
        <f aca="false">D455*G455</f>
        <v>730</v>
      </c>
    </row>
    <row r="456" customFormat="false" ht="26.25" hidden="false" customHeight="true" outlineLevel="0" collapsed="false">
      <c r="A456" s="179" t="s">
        <v>611</v>
      </c>
      <c r="B456" s="180" t="s">
        <v>612</v>
      </c>
      <c r="C456" s="181" t="s">
        <v>237</v>
      </c>
      <c r="D456" s="182" t="n">
        <v>23.71</v>
      </c>
      <c r="E456" s="183" t="n">
        <v>8</v>
      </c>
      <c r="F456" s="184"/>
      <c r="G456" s="183" t="n">
        <v>8</v>
      </c>
      <c r="H456" s="61" t="n">
        <f aca="false">G456-E456</f>
        <v>0</v>
      </c>
      <c r="I456" s="62" t="n">
        <f aca="false">D456*H456</f>
        <v>0</v>
      </c>
      <c r="J456" s="122" t="n">
        <f aca="false">D456*G456</f>
        <v>189.68</v>
      </c>
    </row>
    <row r="457" customFormat="false" ht="26.25" hidden="false" customHeight="true" outlineLevel="0" collapsed="false">
      <c r="A457" s="179" t="s">
        <v>613</v>
      </c>
      <c r="B457" s="180" t="s">
        <v>614</v>
      </c>
      <c r="C457" s="181" t="s">
        <v>237</v>
      </c>
      <c r="D457" s="182" t="n">
        <v>23.71</v>
      </c>
      <c r="E457" s="183" t="n">
        <v>14</v>
      </c>
      <c r="F457" s="184"/>
      <c r="G457" s="183" t="n">
        <v>14</v>
      </c>
      <c r="H457" s="61" t="n">
        <f aca="false">G457-E457</f>
        <v>0</v>
      </c>
      <c r="I457" s="62" t="n">
        <f aca="false">D457*H457</f>
        <v>0</v>
      </c>
      <c r="J457" s="122" t="n">
        <f aca="false">D457*G457</f>
        <v>331.94</v>
      </c>
    </row>
    <row r="458" customFormat="false" ht="26.25" hidden="false" customHeight="true" outlineLevel="0" collapsed="false">
      <c r="A458" s="179" t="s">
        <v>615</v>
      </c>
      <c r="B458" s="180" t="s">
        <v>616</v>
      </c>
      <c r="C458" s="181" t="s">
        <v>237</v>
      </c>
      <c r="D458" s="182" t="n">
        <v>23.71</v>
      </c>
      <c r="E458" s="183" t="n">
        <v>4</v>
      </c>
      <c r="F458" s="184"/>
      <c r="G458" s="183" t="n">
        <v>4</v>
      </c>
      <c r="H458" s="61" t="n">
        <f aca="false">G458-E458</f>
        <v>0</v>
      </c>
      <c r="I458" s="62" t="n">
        <f aca="false">D458*H458</f>
        <v>0</v>
      </c>
      <c r="J458" s="122" t="n">
        <f aca="false">D458*G458</f>
        <v>94.84</v>
      </c>
    </row>
    <row r="459" customFormat="false" ht="26.25" hidden="false" customHeight="true" outlineLevel="0" collapsed="false">
      <c r="A459" s="179" t="s">
        <v>617</v>
      </c>
      <c r="B459" s="180" t="s">
        <v>618</v>
      </c>
      <c r="C459" s="181" t="s">
        <v>237</v>
      </c>
      <c r="D459" s="182" t="n">
        <v>37.09</v>
      </c>
      <c r="E459" s="183" t="n">
        <v>9</v>
      </c>
      <c r="F459" s="184"/>
      <c r="G459" s="183" t="n">
        <v>9</v>
      </c>
      <c r="H459" s="61" t="n">
        <f aca="false">G459-E459</f>
        <v>0</v>
      </c>
      <c r="I459" s="62" t="n">
        <f aca="false">D459*H459</f>
        <v>0</v>
      </c>
      <c r="J459" s="122" t="n">
        <f aca="false">D459*G459</f>
        <v>333.81</v>
      </c>
    </row>
    <row r="460" customFormat="false" ht="26.25" hidden="false" customHeight="true" outlineLevel="0" collapsed="false">
      <c r="A460" s="179" t="s">
        <v>619</v>
      </c>
      <c r="B460" s="180" t="s">
        <v>620</v>
      </c>
      <c r="C460" s="181" t="s">
        <v>237</v>
      </c>
      <c r="D460" s="182" t="n">
        <v>53.07</v>
      </c>
      <c r="E460" s="183" t="n">
        <v>2</v>
      </c>
      <c r="F460" s="184"/>
      <c r="G460" s="183" t="n">
        <v>2</v>
      </c>
      <c r="H460" s="61" t="n">
        <f aca="false">G460-E460</f>
        <v>0</v>
      </c>
      <c r="I460" s="62" t="n">
        <f aca="false">D460*H460</f>
        <v>0</v>
      </c>
      <c r="J460" s="122" t="n">
        <f aca="false">D460*G460</f>
        <v>106.14</v>
      </c>
    </row>
    <row r="461" customFormat="false" ht="26.25" hidden="false" customHeight="true" outlineLevel="0" collapsed="false">
      <c r="A461" s="179" t="s">
        <v>621</v>
      </c>
      <c r="B461" s="180" t="s">
        <v>622</v>
      </c>
      <c r="C461" s="181" t="s">
        <v>237</v>
      </c>
      <c r="D461" s="182" t="n">
        <v>35.04</v>
      </c>
      <c r="E461" s="183" t="n">
        <v>15</v>
      </c>
      <c r="F461" s="184"/>
      <c r="G461" s="183" t="n">
        <v>18</v>
      </c>
      <c r="H461" s="61" t="n">
        <f aca="false">G461-E461</f>
        <v>3</v>
      </c>
      <c r="I461" s="62" t="n">
        <f aca="false">D461*H461</f>
        <v>105.12</v>
      </c>
      <c r="J461" s="122" t="n">
        <f aca="false">D461*G461</f>
        <v>630.72</v>
      </c>
    </row>
    <row r="462" customFormat="false" ht="26.25" hidden="false" customHeight="true" outlineLevel="0" collapsed="false">
      <c r="A462" s="179" t="s">
        <v>623</v>
      </c>
      <c r="B462" s="180" t="s">
        <v>624</v>
      </c>
      <c r="C462" s="181" t="s">
        <v>237</v>
      </c>
      <c r="D462" s="182" t="n">
        <v>35.04</v>
      </c>
      <c r="E462" s="183" t="n">
        <v>55</v>
      </c>
      <c r="F462" s="184"/>
      <c r="G462" s="183" t="n">
        <v>55</v>
      </c>
      <c r="H462" s="61" t="n">
        <f aca="false">G462-E462</f>
        <v>0</v>
      </c>
      <c r="I462" s="62" t="n">
        <f aca="false">D462*H462</f>
        <v>0</v>
      </c>
      <c r="J462" s="122" t="n">
        <f aca="false">D462*G462</f>
        <v>1927.2</v>
      </c>
    </row>
    <row r="463" customFormat="false" ht="26.25" hidden="false" customHeight="true" outlineLevel="0" collapsed="false">
      <c r="A463" s="179" t="s">
        <v>625</v>
      </c>
      <c r="B463" s="180" t="s">
        <v>626</v>
      </c>
      <c r="C463" s="181" t="s">
        <v>237</v>
      </c>
      <c r="D463" s="182" t="n">
        <v>35.04</v>
      </c>
      <c r="E463" s="183" t="n">
        <v>33</v>
      </c>
      <c r="F463" s="184"/>
      <c r="G463" s="183" t="n">
        <v>33</v>
      </c>
      <c r="H463" s="61" t="n">
        <f aca="false">G463-E463</f>
        <v>0</v>
      </c>
      <c r="I463" s="62" t="n">
        <f aca="false">D463*H463</f>
        <v>0</v>
      </c>
      <c r="J463" s="122" t="n">
        <f aca="false">D463*G463</f>
        <v>1156.32</v>
      </c>
    </row>
    <row r="464" customFormat="false" ht="26.25" hidden="false" customHeight="true" outlineLevel="0" collapsed="false">
      <c r="A464" s="179" t="s">
        <v>627</v>
      </c>
      <c r="B464" s="180" t="s">
        <v>628</v>
      </c>
      <c r="C464" s="181" t="s">
        <v>237</v>
      </c>
      <c r="D464" s="182" t="n">
        <v>35.04</v>
      </c>
      <c r="E464" s="183" t="n">
        <v>32</v>
      </c>
      <c r="F464" s="184"/>
      <c r="G464" s="183" t="n">
        <v>32</v>
      </c>
      <c r="H464" s="61" t="n">
        <f aca="false">G464-E464</f>
        <v>0</v>
      </c>
      <c r="I464" s="62" t="n">
        <f aca="false">D464*H464</f>
        <v>0</v>
      </c>
      <c r="J464" s="122" t="n">
        <f aca="false">D464*G464</f>
        <v>1121.28</v>
      </c>
    </row>
    <row r="465" customFormat="false" ht="26.25" hidden="false" customHeight="true" outlineLevel="0" collapsed="false">
      <c r="A465" s="179" t="s">
        <v>629</v>
      </c>
      <c r="B465" s="180" t="s">
        <v>630</v>
      </c>
      <c r="C465" s="181" t="s">
        <v>237</v>
      </c>
      <c r="D465" s="182" t="n">
        <v>90.27</v>
      </c>
      <c r="E465" s="183" t="n">
        <v>3</v>
      </c>
      <c r="F465" s="184"/>
      <c r="G465" s="183" t="n">
        <v>3</v>
      </c>
      <c r="H465" s="61" t="n">
        <f aca="false">G465-E465</f>
        <v>0</v>
      </c>
      <c r="I465" s="62" t="n">
        <f aca="false">D465*H465</f>
        <v>0</v>
      </c>
      <c r="J465" s="122" t="n">
        <f aca="false">D465*G465</f>
        <v>270.81</v>
      </c>
    </row>
    <row r="466" customFormat="false" ht="26.25" hidden="false" customHeight="true" outlineLevel="0" collapsed="false">
      <c r="A466" s="179" t="s">
        <v>631</v>
      </c>
      <c r="B466" s="180" t="s">
        <v>632</v>
      </c>
      <c r="C466" s="181" t="s">
        <v>237</v>
      </c>
      <c r="D466" s="182" t="n">
        <v>90.27</v>
      </c>
      <c r="E466" s="183" t="n">
        <v>3</v>
      </c>
      <c r="F466" s="184"/>
      <c r="G466" s="183" t="n">
        <v>3</v>
      </c>
      <c r="H466" s="61" t="n">
        <f aca="false">G466-E466</f>
        <v>0</v>
      </c>
      <c r="I466" s="62" t="n">
        <f aca="false">D466*H466</f>
        <v>0</v>
      </c>
      <c r="J466" s="122" t="n">
        <f aca="false">D466*G466</f>
        <v>270.81</v>
      </c>
    </row>
    <row r="467" customFormat="false" ht="39" hidden="false" customHeight="true" outlineLevel="0" collapsed="false">
      <c r="A467" s="179" t="s">
        <v>633</v>
      </c>
      <c r="B467" s="180" t="s">
        <v>634</v>
      </c>
      <c r="C467" s="181" t="s">
        <v>237</v>
      </c>
      <c r="D467" s="182" t="n">
        <v>141.21</v>
      </c>
      <c r="E467" s="183" t="n">
        <v>2</v>
      </c>
      <c r="F467" s="184"/>
      <c r="G467" s="183" t="n">
        <v>2</v>
      </c>
      <c r="H467" s="61" t="n">
        <f aca="false">G467-E467</f>
        <v>0</v>
      </c>
      <c r="I467" s="62" t="n">
        <f aca="false">D467*H467</f>
        <v>0</v>
      </c>
      <c r="J467" s="122" t="n">
        <f aca="false">D467*G467</f>
        <v>282.42</v>
      </c>
    </row>
    <row r="468" customFormat="false" ht="26.25" hidden="false" customHeight="true" outlineLevel="0" collapsed="false">
      <c r="A468" s="179" t="s">
        <v>635</v>
      </c>
      <c r="B468" s="180" t="s">
        <v>636</v>
      </c>
      <c r="C468" s="181" t="s">
        <v>237</v>
      </c>
      <c r="D468" s="182" t="n">
        <v>63.73</v>
      </c>
      <c r="E468" s="183" t="n">
        <v>3</v>
      </c>
      <c r="F468" s="184"/>
      <c r="G468" s="183" t="n">
        <v>3</v>
      </c>
      <c r="H468" s="61" t="n">
        <f aca="false">G468-E468</f>
        <v>0</v>
      </c>
      <c r="I468" s="62" t="n">
        <f aca="false">D468*H468</f>
        <v>0</v>
      </c>
      <c r="J468" s="122" t="n">
        <f aca="false">D468*G468</f>
        <v>191.19</v>
      </c>
    </row>
    <row r="469" customFormat="false" ht="26.25" hidden="false" customHeight="true" outlineLevel="0" collapsed="false">
      <c r="A469" s="179" t="s">
        <v>637</v>
      </c>
      <c r="B469" s="180" t="s">
        <v>638</v>
      </c>
      <c r="C469" s="181" t="s">
        <v>237</v>
      </c>
      <c r="D469" s="182" t="n">
        <v>63.73</v>
      </c>
      <c r="E469" s="183" t="n">
        <v>3</v>
      </c>
      <c r="F469" s="184"/>
      <c r="G469" s="183" t="n">
        <v>3</v>
      </c>
      <c r="H469" s="61" t="n">
        <f aca="false">G469-E469</f>
        <v>0</v>
      </c>
      <c r="I469" s="62" t="n">
        <f aca="false">D469*H469</f>
        <v>0</v>
      </c>
      <c r="J469" s="122" t="n">
        <f aca="false">D469*G469</f>
        <v>191.19</v>
      </c>
    </row>
    <row r="470" customFormat="false" ht="39" hidden="false" customHeight="true" outlineLevel="0" collapsed="false">
      <c r="A470" s="179" t="s">
        <v>639</v>
      </c>
      <c r="B470" s="180" t="s">
        <v>640</v>
      </c>
      <c r="C470" s="181" t="s">
        <v>237</v>
      </c>
      <c r="D470" s="182" t="n">
        <v>65.78</v>
      </c>
      <c r="E470" s="183" t="n">
        <v>3</v>
      </c>
      <c r="F470" s="184"/>
      <c r="G470" s="183" t="n">
        <v>3</v>
      </c>
      <c r="H470" s="61" t="n">
        <f aca="false">G470-E470</f>
        <v>0</v>
      </c>
      <c r="I470" s="62" t="n">
        <f aca="false">D470*H470</f>
        <v>0</v>
      </c>
      <c r="J470" s="122" t="n">
        <f aca="false">D470*G470</f>
        <v>197.34</v>
      </c>
    </row>
    <row r="471" customFormat="false" ht="39" hidden="false" customHeight="true" outlineLevel="0" collapsed="false">
      <c r="A471" s="179" t="s">
        <v>641</v>
      </c>
      <c r="B471" s="180" t="s">
        <v>642</v>
      </c>
      <c r="C471" s="181" t="s">
        <v>237</v>
      </c>
      <c r="D471" s="182" t="n">
        <v>65.78</v>
      </c>
      <c r="E471" s="183" t="n">
        <v>3</v>
      </c>
      <c r="F471" s="184"/>
      <c r="G471" s="183" t="n">
        <v>3</v>
      </c>
      <c r="H471" s="61" t="n">
        <f aca="false">G471-E471</f>
        <v>0</v>
      </c>
      <c r="I471" s="62" t="n">
        <f aca="false">D471*H471</f>
        <v>0</v>
      </c>
      <c r="J471" s="122" t="n">
        <f aca="false">D471*G471</f>
        <v>197.34</v>
      </c>
    </row>
    <row r="472" customFormat="false" ht="39" hidden="false" customHeight="true" outlineLevel="0" collapsed="false">
      <c r="A472" s="179" t="s">
        <v>643</v>
      </c>
      <c r="B472" s="180" t="s">
        <v>644</v>
      </c>
      <c r="C472" s="181" t="s">
        <v>237</v>
      </c>
      <c r="D472" s="182" t="n">
        <v>65.78</v>
      </c>
      <c r="E472" s="183" t="n">
        <v>6</v>
      </c>
      <c r="F472" s="184"/>
      <c r="G472" s="183" t="n">
        <v>6</v>
      </c>
      <c r="H472" s="61" t="n">
        <f aca="false">G472-E472</f>
        <v>0</v>
      </c>
      <c r="I472" s="62" t="n">
        <f aca="false">D472*H472</f>
        <v>0</v>
      </c>
      <c r="J472" s="122" t="n">
        <f aca="false">D472*G472</f>
        <v>394.68</v>
      </c>
    </row>
    <row r="473" customFormat="false" ht="26.25" hidden="false" customHeight="true" outlineLevel="0" collapsed="false">
      <c r="A473" s="179" t="s">
        <v>645</v>
      </c>
      <c r="B473" s="180" t="s">
        <v>646</v>
      </c>
      <c r="C473" s="181" t="s">
        <v>237</v>
      </c>
      <c r="D473" s="182" t="n">
        <v>146.37</v>
      </c>
      <c r="E473" s="183" t="n">
        <v>2</v>
      </c>
      <c r="F473" s="184"/>
      <c r="G473" s="183" t="n">
        <v>2</v>
      </c>
      <c r="H473" s="61" t="n">
        <f aca="false">G473-E473</f>
        <v>0</v>
      </c>
      <c r="I473" s="62" t="n">
        <f aca="false">D473*H473</f>
        <v>0</v>
      </c>
      <c r="J473" s="122" t="n">
        <f aca="false">D473*G473</f>
        <v>292.74</v>
      </c>
    </row>
    <row r="474" customFormat="false" ht="26.25" hidden="false" customHeight="true" outlineLevel="0" collapsed="false">
      <c r="A474" s="179" t="s">
        <v>647</v>
      </c>
      <c r="B474" s="180" t="s">
        <v>648</v>
      </c>
      <c r="C474" s="181" t="s">
        <v>237</v>
      </c>
      <c r="D474" s="182" t="n">
        <v>65.78</v>
      </c>
      <c r="E474" s="183" t="n">
        <v>3</v>
      </c>
      <c r="F474" s="184"/>
      <c r="G474" s="183" t="n">
        <v>3</v>
      </c>
      <c r="H474" s="61" t="n">
        <f aca="false">G474-E474</f>
        <v>0</v>
      </c>
      <c r="I474" s="62" t="n">
        <f aca="false">D474*H474</f>
        <v>0</v>
      </c>
      <c r="J474" s="122" t="n">
        <f aca="false">D474*G474</f>
        <v>197.34</v>
      </c>
    </row>
    <row r="475" customFormat="false" ht="26.25" hidden="false" customHeight="true" outlineLevel="0" collapsed="false">
      <c r="A475" s="179" t="s">
        <v>649</v>
      </c>
      <c r="B475" s="180" t="s">
        <v>650</v>
      </c>
      <c r="C475" s="181" t="s">
        <v>651</v>
      </c>
      <c r="D475" s="182" t="n">
        <v>65.78</v>
      </c>
      <c r="E475" s="183" t="n">
        <v>6</v>
      </c>
      <c r="F475" s="184"/>
      <c r="G475" s="186" t="n">
        <v>6</v>
      </c>
      <c r="H475" s="61" t="n">
        <f aca="false">G475-E475</f>
        <v>0</v>
      </c>
      <c r="I475" s="62" t="n">
        <f aca="false">D475*H475</f>
        <v>0</v>
      </c>
      <c r="J475" s="122" t="n">
        <f aca="false">D475*G475</f>
        <v>394.68</v>
      </c>
    </row>
    <row r="476" customFormat="false" ht="26.25" hidden="false" customHeight="true" outlineLevel="0" collapsed="false">
      <c r="A476" s="179" t="s">
        <v>652</v>
      </c>
      <c r="B476" s="180" t="s">
        <v>653</v>
      </c>
      <c r="C476" s="181" t="s">
        <v>651</v>
      </c>
      <c r="D476" s="182" t="n">
        <v>63.73</v>
      </c>
      <c r="E476" s="183" t="n">
        <v>10</v>
      </c>
      <c r="F476" s="184"/>
      <c r="G476" s="186" t="n">
        <v>11</v>
      </c>
      <c r="H476" s="61" t="n">
        <f aca="false">G476-E476</f>
        <v>1</v>
      </c>
      <c r="I476" s="62" t="n">
        <f aca="false">D476*H476</f>
        <v>63.73</v>
      </c>
      <c r="J476" s="122" t="n">
        <f aca="false">D476*G476</f>
        <v>701.03</v>
      </c>
    </row>
    <row r="477" customFormat="false" ht="26.25" hidden="false" customHeight="true" outlineLevel="0" collapsed="false">
      <c r="A477" s="179" t="s">
        <v>654</v>
      </c>
      <c r="B477" s="180" t="s">
        <v>655</v>
      </c>
      <c r="C477" s="181" t="s">
        <v>651</v>
      </c>
      <c r="D477" s="182" t="n">
        <v>63.73</v>
      </c>
      <c r="E477" s="183" t="n">
        <v>9</v>
      </c>
      <c r="F477" s="184"/>
      <c r="G477" s="186" t="n">
        <v>9</v>
      </c>
      <c r="H477" s="61" t="n">
        <f aca="false">G477-E477</f>
        <v>0</v>
      </c>
      <c r="I477" s="62" t="n">
        <f aca="false">D477*H477</f>
        <v>0</v>
      </c>
      <c r="J477" s="122" t="n">
        <f aca="false">D477*G477</f>
        <v>573.57</v>
      </c>
    </row>
    <row r="478" customFormat="false" ht="26.25" hidden="false" customHeight="true" outlineLevel="0" collapsed="false">
      <c r="A478" s="179" t="s">
        <v>656</v>
      </c>
      <c r="B478" s="180" t="s">
        <v>657</v>
      </c>
      <c r="C478" s="181" t="s">
        <v>651</v>
      </c>
      <c r="D478" s="182" t="n">
        <v>63.73</v>
      </c>
      <c r="E478" s="183" t="n">
        <v>12</v>
      </c>
      <c r="F478" s="184"/>
      <c r="G478" s="186" t="n">
        <v>12</v>
      </c>
      <c r="H478" s="61" t="n">
        <f aca="false">G478-E478</f>
        <v>0</v>
      </c>
      <c r="I478" s="62" t="n">
        <f aca="false">D478*H478</f>
        <v>0</v>
      </c>
      <c r="J478" s="122" t="n">
        <f aca="false">D478*G478</f>
        <v>764.76</v>
      </c>
    </row>
    <row r="479" customFormat="false" ht="18.75" hidden="false" customHeight="false" outlineLevel="0" collapsed="false">
      <c r="A479" s="73"/>
      <c r="B479" s="74"/>
      <c r="C479" s="74"/>
      <c r="D479" s="75"/>
      <c r="E479" s="76"/>
      <c r="F479" s="133"/>
      <c r="G479" s="92"/>
      <c r="H479" s="92" t="s">
        <v>5</v>
      </c>
      <c r="I479" s="124" t="n">
        <f aca="false">SUM(I446:I478)</f>
        <v>11.87</v>
      </c>
      <c r="J479" s="131" t="n">
        <f aca="false">SUM(J446:J478)</f>
        <v>14092.97</v>
      </c>
      <c r="K479" s="89" t="n">
        <f aca="false">I479</f>
        <v>11.87</v>
      </c>
      <c r="L479" s="89" t="n">
        <f aca="false">J479</f>
        <v>14092.97</v>
      </c>
    </row>
    <row r="480" customFormat="false" ht="18.75" hidden="false" customHeight="false" outlineLevel="0" collapsed="false">
      <c r="A480" s="73"/>
      <c r="B480" s="74" t="s">
        <v>658</v>
      </c>
      <c r="C480" s="74"/>
      <c r="D480" s="75"/>
      <c r="E480" s="76"/>
      <c r="F480" s="133"/>
      <c r="G480" s="92"/>
      <c r="H480" s="92"/>
      <c r="I480" s="124"/>
      <c r="J480" s="131"/>
    </row>
    <row r="481" customFormat="false" ht="18.75" hidden="false" customHeight="false" outlineLevel="0" collapsed="false">
      <c r="A481" s="73"/>
      <c r="B481" s="74"/>
      <c r="C481" s="74"/>
      <c r="D481" s="75"/>
      <c r="E481" s="76"/>
      <c r="F481" s="133"/>
      <c r="G481" s="92"/>
      <c r="H481" s="92"/>
      <c r="I481" s="124"/>
      <c r="J481" s="131"/>
    </row>
    <row r="482" customFormat="false" ht="26.25" hidden="false" customHeight="true" outlineLevel="0" collapsed="false">
      <c r="A482" s="187" t="s">
        <v>659</v>
      </c>
      <c r="B482" s="188" t="s">
        <v>660</v>
      </c>
      <c r="C482" s="189" t="s">
        <v>15</v>
      </c>
      <c r="D482" s="190" t="n">
        <v>20.71</v>
      </c>
      <c r="E482" s="191" t="n">
        <v>6</v>
      </c>
      <c r="F482" s="135"/>
      <c r="G482" s="192" t="n">
        <v>6</v>
      </c>
      <c r="H482" s="34" t="n">
        <f aca="false">G482-E482</f>
        <v>0</v>
      </c>
      <c r="I482" s="36" t="n">
        <f aca="false">D482*H482</f>
        <v>0</v>
      </c>
      <c r="J482" s="123" t="n">
        <f aca="false">D482*G482</f>
        <v>124.26</v>
      </c>
    </row>
    <row r="483" customFormat="false" ht="26.25" hidden="false" customHeight="true" outlineLevel="0" collapsed="false">
      <c r="A483" s="187" t="s">
        <v>661</v>
      </c>
      <c r="B483" s="188" t="s">
        <v>662</v>
      </c>
      <c r="C483" s="189" t="s">
        <v>15</v>
      </c>
      <c r="D483" s="190" t="n">
        <v>29.2</v>
      </c>
      <c r="E483" s="191" t="n">
        <v>16</v>
      </c>
      <c r="F483" s="135"/>
      <c r="G483" s="192" t="n">
        <v>16</v>
      </c>
      <c r="H483" s="34" t="n">
        <f aca="false">G483-E483</f>
        <v>0</v>
      </c>
      <c r="I483" s="36" t="n">
        <f aca="false">D483*H483</f>
        <v>0</v>
      </c>
      <c r="J483" s="123" t="n">
        <f aca="false">D483*G483</f>
        <v>467.2</v>
      </c>
    </row>
    <row r="484" customFormat="false" ht="26.25" hidden="false" customHeight="true" outlineLevel="0" collapsed="false">
      <c r="A484" s="187" t="s">
        <v>663</v>
      </c>
      <c r="B484" s="188" t="s">
        <v>664</v>
      </c>
      <c r="C484" s="189" t="s">
        <v>15</v>
      </c>
      <c r="D484" s="190" t="n">
        <v>29.2</v>
      </c>
      <c r="E484" s="191" t="n">
        <v>1</v>
      </c>
      <c r="F484" s="135"/>
      <c r="G484" s="192" t="n">
        <v>1</v>
      </c>
      <c r="H484" s="34" t="n">
        <f aca="false">G484-E484</f>
        <v>0</v>
      </c>
      <c r="I484" s="36" t="n">
        <f aca="false">D484*H484</f>
        <v>0</v>
      </c>
      <c r="J484" s="123" t="n">
        <f aca="false">D484*G484</f>
        <v>29.2</v>
      </c>
    </row>
    <row r="485" customFormat="false" ht="26.25" hidden="false" customHeight="true" outlineLevel="0" collapsed="false">
      <c r="A485" s="187" t="s">
        <v>665</v>
      </c>
      <c r="B485" s="188" t="s">
        <v>666</v>
      </c>
      <c r="C485" s="189" t="s">
        <v>15</v>
      </c>
      <c r="D485" s="190" t="n">
        <v>46.92</v>
      </c>
      <c r="E485" s="191" t="n">
        <v>6</v>
      </c>
      <c r="F485" s="135"/>
      <c r="G485" s="192" t="n">
        <v>6</v>
      </c>
      <c r="H485" s="34" t="n">
        <f aca="false">G485-E485</f>
        <v>0</v>
      </c>
      <c r="I485" s="36" t="n">
        <f aca="false">D485*H485</f>
        <v>0</v>
      </c>
      <c r="J485" s="123" t="n">
        <f aca="false">D485*G485</f>
        <v>281.52</v>
      </c>
    </row>
    <row r="486" customFormat="false" ht="26.25" hidden="false" customHeight="true" outlineLevel="0" collapsed="false">
      <c r="A486" s="187" t="s">
        <v>667</v>
      </c>
      <c r="B486" s="188" t="s">
        <v>668</v>
      </c>
      <c r="C486" s="189" t="s">
        <v>15</v>
      </c>
      <c r="D486" s="190" t="n">
        <v>105.12</v>
      </c>
      <c r="E486" s="191" t="n">
        <v>2</v>
      </c>
      <c r="F486" s="135"/>
      <c r="G486" s="192" t="n">
        <v>2</v>
      </c>
      <c r="H486" s="34" t="n">
        <f aca="false">G486-E486</f>
        <v>0</v>
      </c>
      <c r="I486" s="36" t="n">
        <f aca="false">D486*H486</f>
        <v>0</v>
      </c>
      <c r="J486" s="123" t="n">
        <f aca="false">D486*G486</f>
        <v>210.24</v>
      </c>
    </row>
    <row r="487" customFormat="false" ht="39" hidden="false" customHeight="true" outlineLevel="0" collapsed="false">
      <c r="A487" s="187" t="s">
        <v>669</v>
      </c>
      <c r="B487" s="188" t="s">
        <v>670</v>
      </c>
      <c r="C487" s="189" t="s">
        <v>15</v>
      </c>
      <c r="D487" s="190" t="n">
        <v>63.73</v>
      </c>
      <c r="E487" s="191" t="n">
        <v>3</v>
      </c>
      <c r="F487" s="135"/>
      <c r="G487" s="192" t="n">
        <v>3</v>
      </c>
      <c r="H487" s="34" t="n">
        <f aca="false">G487-E487</f>
        <v>0</v>
      </c>
      <c r="I487" s="36" t="n">
        <f aca="false">D487*H487</f>
        <v>0</v>
      </c>
      <c r="J487" s="123" t="n">
        <f aca="false">D487*G487</f>
        <v>191.19</v>
      </c>
    </row>
    <row r="488" customFormat="false" ht="39" hidden="false" customHeight="true" outlineLevel="0" collapsed="false">
      <c r="A488" s="187" t="s">
        <v>671</v>
      </c>
      <c r="B488" s="188" t="s">
        <v>672</v>
      </c>
      <c r="C488" s="189" t="s">
        <v>15</v>
      </c>
      <c r="D488" s="190" t="n">
        <v>63.73</v>
      </c>
      <c r="E488" s="191" t="n">
        <v>8</v>
      </c>
      <c r="F488" s="135"/>
      <c r="G488" s="192" t="n">
        <v>8</v>
      </c>
      <c r="H488" s="34" t="n">
        <f aca="false">G488-E488</f>
        <v>0</v>
      </c>
      <c r="I488" s="36" t="n">
        <f aca="false">D488*H488</f>
        <v>0</v>
      </c>
      <c r="J488" s="123" t="n">
        <f aca="false">D488*G488</f>
        <v>509.84</v>
      </c>
    </row>
    <row r="489" customFormat="false" ht="39" hidden="false" customHeight="true" outlineLevel="0" collapsed="false">
      <c r="A489" s="187" t="s">
        <v>673</v>
      </c>
      <c r="B489" s="188" t="s">
        <v>674</v>
      </c>
      <c r="C489" s="189" t="s">
        <v>15</v>
      </c>
      <c r="D489" s="190" t="n">
        <v>82.05</v>
      </c>
      <c r="E489" s="191" t="n">
        <v>3</v>
      </c>
      <c r="F489" s="135"/>
      <c r="G489" s="192" t="n">
        <v>3</v>
      </c>
      <c r="H489" s="34" t="n">
        <f aca="false">G489-E489</f>
        <v>0</v>
      </c>
      <c r="I489" s="36" t="n">
        <f aca="false">D489*H489</f>
        <v>0</v>
      </c>
      <c r="J489" s="123" t="n">
        <f aca="false">D489*G489</f>
        <v>246.15</v>
      </c>
    </row>
    <row r="490" customFormat="false" ht="26.25" hidden="false" customHeight="true" outlineLevel="0" collapsed="false">
      <c r="A490" s="187" t="s">
        <v>675</v>
      </c>
      <c r="B490" s="188" t="s">
        <v>676</v>
      </c>
      <c r="C490" s="189" t="s">
        <v>15</v>
      </c>
      <c r="D490" s="190" t="n">
        <v>44.33</v>
      </c>
      <c r="E490" s="191" t="n">
        <v>12</v>
      </c>
      <c r="F490" s="135"/>
      <c r="G490" s="192" t="n">
        <v>12</v>
      </c>
      <c r="H490" s="34" t="n">
        <f aca="false">G490-E490</f>
        <v>0</v>
      </c>
      <c r="I490" s="36" t="n">
        <f aca="false">D490*H490</f>
        <v>0</v>
      </c>
      <c r="J490" s="123" t="n">
        <f aca="false">D490*G490</f>
        <v>531.96</v>
      </c>
    </row>
    <row r="491" customFormat="false" ht="39" hidden="false" customHeight="true" outlineLevel="0" collapsed="false">
      <c r="A491" s="187" t="s">
        <v>677</v>
      </c>
      <c r="B491" s="188" t="s">
        <v>678</v>
      </c>
      <c r="C491" s="189" t="s">
        <v>15</v>
      </c>
      <c r="D491" s="190" t="n">
        <v>140.22</v>
      </c>
      <c r="E491" s="191" t="n">
        <v>2</v>
      </c>
      <c r="F491" s="135"/>
      <c r="G491" s="192" t="n">
        <v>2</v>
      </c>
      <c r="H491" s="34" t="n">
        <f aca="false">G491-E491</f>
        <v>0</v>
      </c>
      <c r="I491" s="36" t="n">
        <f aca="false">D491*H491</f>
        <v>0</v>
      </c>
      <c r="J491" s="123" t="n">
        <f aca="false">D491*G491</f>
        <v>280.44</v>
      </c>
    </row>
    <row r="492" customFormat="false" ht="39" hidden="false" customHeight="true" outlineLevel="0" collapsed="false">
      <c r="A492" s="187" t="s">
        <v>679</v>
      </c>
      <c r="B492" s="188" t="s">
        <v>680</v>
      </c>
      <c r="C492" s="189" t="s">
        <v>15</v>
      </c>
      <c r="D492" s="190" t="n">
        <v>140.22</v>
      </c>
      <c r="E492" s="191" t="n">
        <v>2</v>
      </c>
      <c r="F492" s="135"/>
      <c r="G492" s="192" t="n">
        <v>2</v>
      </c>
      <c r="H492" s="34" t="n">
        <f aca="false">G492-E492</f>
        <v>0</v>
      </c>
      <c r="I492" s="36" t="n">
        <f aca="false">D492*H492</f>
        <v>0</v>
      </c>
      <c r="J492" s="123" t="n">
        <f aca="false">D492*G492</f>
        <v>280.44</v>
      </c>
    </row>
    <row r="493" customFormat="false" ht="26.25" hidden="false" customHeight="true" outlineLevel="0" collapsed="false">
      <c r="A493" s="187" t="s">
        <v>681</v>
      </c>
      <c r="B493" s="188" t="s">
        <v>682</v>
      </c>
      <c r="C493" s="189" t="s">
        <v>15</v>
      </c>
      <c r="D493" s="190" t="n">
        <v>63.73</v>
      </c>
      <c r="E493" s="191" t="n">
        <v>6</v>
      </c>
      <c r="F493" s="135"/>
      <c r="G493" s="192" t="n">
        <v>6</v>
      </c>
      <c r="H493" s="34" t="n">
        <f aca="false">G493-E493</f>
        <v>0</v>
      </c>
      <c r="I493" s="36" t="n">
        <f aca="false">D493*H493</f>
        <v>0</v>
      </c>
      <c r="J493" s="123" t="n">
        <f aca="false">D493*G493</f>
        <v>382.38</v>
      </c>
    </row>
    <row r="494" customFormat="false" ht="39" hidden="false" customHeight="true" outlineLevel="0" collapsed="false">
      <c r="A494" s="193" t="s">
        <v>683</v>
      </c>
      <c r="B494" s="194" t="s">
        <v>684</v>
      </c>
      <c r="C494" s="189" t="s">
        <v>15</v>
      </c>
      <c r="D494" s="195" t="n">
        <v>63.73</v>
      </c>
      <c r="E494" s="196" t="n">
        <v>3</v>
      </c>
      <c r="F494" s="135"/>
      <c r="G494" s="192" t="n">
        <v>3</v>
      </c>
      <c r="H494" s="34" t="n">
        <f aca="false">G494-E494</f>
        <v>0</v>
      </c>
      <c r="I494" s="36" t="n">
        <f aca="false">D494*H494</f>
        <v>0</v>
      </c>
      <c r="J494" s="123" t="n">
        <f aca="false">D494*G494</f>
        <v>191.19</v>
      </c>
    </row>
    <row r="495" customFormat="false" ht="26.25" hidden="false" customHeight="true" outlineLevel="0" collapsed="false">
      <c r="A495" s="187" t="s">
        <v>685</v>
      </c>
      <c r="B495" s="188" t="s">
        <v>686</v>
      </c>
      <c r="C495" s="189" t="s">
        <v>15</v>
      </c>
      <c r="D495" s="190" t="n">
        <v>63.73</v>
      </c>
      <c r="E495" s="191" t="n">
        <v>3</v>
      </c>
      <c r="F495" s="135"/>
      <c r="G495" s="197" t="n">
        <v>0</v>
      </c>
      <c r="H495" s="34" t="n">
        <f aca="false">G495-E495</f>
        <v>-3</v>
      </c>
      <c r="I495" s="36" t="n">
        <f aca="false">D495*H495</f>
        <v>-191.19</v>
      </c>
      <c r="J495" s="123" t="n">
        <f aca="false">D495*G495</f>
        <v>0</v>
      </c>
    </row>
    <row r="496" customFormat="false" ht="26.25" hidden="false" customHeight="true" outlineLevel="0" collapsed="false">
      <c r="A496" s="187" t="s">
        <v>687</v>
      </c>
      <c r="B496" s="188" t="s">
        <v>688</v>
      </c>
      <c r="C496" s="189" t="s">
        <v>15</v>
      </c>
      <c r="D496" s="190" t="n">
        <v>35.04</v>
      </c>
      <c r="E496" s="191" t="n">
        <v>3</v>
      </c>
      <c r="F496" s="135"/>
      <c r="G496" s="192" t="n">
        <v>3</v>
      </c>
      <c r="H496" s="34" t="n">
        <f aca="false">G496-E496</f>
        <v>0</v>
      </c>
      <c r="I496" s="36" t="n">
        <f aca="false">D496*H496</f>
        <v>0</v>
      </c>
      <c r="J496" s="123" t="n">
        <f aca="false">D496*G496</f>
        <v>105.12</v>
      </c>
    </row>
    <row r="497" customFormat="false" ht="26.25" hidden="false" customHeight="true" outlineLevel="0" collapsed="false">
      <c r="A497" s="187" t="s">
        <v>689</v>
      </c>
      <c r="B497" s="188" t="s">
        <v>690</v>
      </c>
      <c r="C497" s="189" t="s">
        <v>15</v>
      </c>
      <c r="D497" s="190" t="n">
        <v>20.71</v>
      </c>
      <c r="E497" s="191" t="n">
        <v>4</v>
      </c>
      <c r="F497" s="135"/>
      <c r="G497" s="192" t="n">
        <v>4</v>
      </c>
      <c r="H497" s="34" t="n">
        <f aca="false">G497-E497</f>
        <v>0</v>
      </c>
      <c r="I497" s="36" t="n">
        <f aca="false">D497*H497</f>
        <v>0</v>
      </c>
      <c r="J497" s="123" t="n">
        <f aca="false">D497*G497</f>
        <v>82.84</v>
      </c>
    </row>
    <row r="498" customFormat="false" ht="39" hidden="false" customHeight="true" outlineLevel="0" collapsed="false">
      <c r="A498" s="187" t="s">
        <v>691</v>
      </c>
      <c r="B498" s="188" t="s">
        <v>692</v>
      </c>
      <c r="C498" s="189" t="s">
        <v>15</v>
      </c>
      <c r="D498" s="190" t="n">
        <v>44.33</v>
      </c>
      <c r="E498" s="191" t="n">
        <v>12</v>
      </c>
      <c r="F498" s="135"/>
      <c r="G498" s="192" t="n">
        <v>12</v>
      </c>
      <c r="H498" s="34" t="n">
        <f aca="false">G498-E498</f>
        <v>0</v>
      </c>
      <c r="I498" s="36" t="n">
        <f aca="false">D498*H498</f>
        <v>0</v>
      </c>
      <c r="J498" s="123" t="n">
        <f aca="false">D498*G498</f>
        <v>531.96</v>
      </c>
    </row>
    <row r="499" customFormat="false" ht="39" hidden="false" customHeight="true" outlineLevel="0" collapsed="false">
      <c r="A499" s="187" t="s">
        <v>693</v>
      </c>
      <c r="B499" s="188" t="s">
        <v>694</v>
      </c>
      <c r="C499" s="189" t="s">
        <v>15</v>
      </c>
      <c r="D499" s="190" t="n">
        <v>63.73</v>
      </c>
      <c r="E499" s="191" t="n">
        <v>6</v>
      </c>
      <c r="F499" s="135"/>
      <c r="G499" s="192" t="n">
        <v>6</v>
      </c>
      <c r="H499" s="34" t="n">
        <f aca="false">G499-E499</f>
        <v>0</v>
      </c>
      <c r="I499" s="36" t="n">
        <f aca="false">D499*H499</f>
        <v>0</v>
      </c>
      <c r="J499" s="123" t="n">
        <f aca="false">D499*G499</f>
        <v>382.38</v>
      </c>
    </row>
    <row r="500" customFormat="false" ht="26.25" hidden="false" customHeight="true" outlineLevel="0" collapsed="false">
      <c r="A500" s="187" t="s">
        <v>695</v>
      </c>
      <c r="B500" s="188" t="s">
        <v>696</v>
      </c>
      <c r="C500" s="189" t="s">
        <v>15</v>
      </c>
      <c r="D500" s="190" t="n">
        <v>41.19</v>
      </c>
      <c r="E500" s="191" t="n">
        <v>5</v>
      </c>
      <c r="F500" s="135"/>
      <c r="G500" s="192" t="n">
        <v>5</v>
      </c>
      <c r="H500" s="34" t="n">
        <f aca="false">G500-E500</f>
        <v>0</v>
      </c>
      <c r="I500" s="36" t="n">
        <f aca="false">D500*H500</f>
        <v>0</v>
      </c>
      <c r="J500" s="123" t="n">
        <f aca="false">D500*G500</f>
        <v>205.95</v>
      </c>
    </row>
    <row r="501" customFormat="false" ht="26.25" hidden="false" customHeight="true" outlineLevel="0" collapsed="false">
      <c r="A501" s="187" t="s">
        <v>697</v>
      </c>
      <c r="B501" s="188" t="s">
        <v>698</v>
      </c>
      <c r="C501" s="189" t="s">
        <v>15</v>
      </c>
      <c r="D501" s="190" t="n">
        <v>41.19</v>
      </c>
      <c r="E501" s="191" t="n">
        <v>1</v>
      </c>
      <c r="F501" s="135"/>
      <c r="G501" s="192" t="n">
        <v>1</v>
      </c>
      <c r="H501" s="34" t="n">
        <f aca="false">G501-E501</f>
        <v>0</v>
      </c>
      <c r="I501" s="36" t="n">
        <f aca="false">D501*H501</f>
        <v>0</v>
      </c>
      <c r="J501" s="123" t="n">
        <f aca="false">D501*G501</f>
        <v>41.19</v>
      </c>
    </row>
    <row r="502" customFormat="false" ht="17.25" hidden="false" customHeight="true" outlineLevel="0" collapsed="false">
      <c r="A502" s="198"/>
      <c r="B502" s="199"/>
      <c r="C502" s="200"/>
      <c r="D502" s="201"/>
      <c r="E502" s="202"/>
      <c r="F502" s="133"/>
      <c r="G502" s="92"/>
      <c r="H502" s="92" t="s">
        <v>5</v>
      </c>
      <c r="I502" s="124" t="n">
        <f aca="false">SUM(I482:I501)</f>
        <v>-191.19</v>
      </c>
      <c r="J502" s="131" t="n">
        <f aca="false">SUM(J482:J501)</f>
        <v>5075.45</v>
      </c>
      <c r="K502" s="89" t="n">
        <f aca="false">I502</f>
        <v>-191.19</v>
      </c>
      <c r="L502" s="89" t="n">
        <f aca="false">J502</f>
        <v>5075.45</v>
      </c>
    </row>
    <row r="503" customFormat="false" ht="17.25" hidden="false" customHeight="true" outlineLevel="0" collapsed="false">
      <c r="A503" s="198"/>
      <c r="B503" s="203" t="s">
        <v>699</v>
      </c>
      <c r="C503" s="200"/>
      <c r="D503" s="201"/>
      <c r="E503" s="202"/>
      <c r="F503" s="133"/>
      <c r="G503" s="92"/>
      <c r="H503" s="92"/>
      <c r="I503" s="124"/>
      <c r="J503" s="131"/>
    </row>
    <row r="504" customFormat="false" ht="17.25" hidden="false" customHeight="true" outlineLevel="0" collapsed="false">
      <c r="A504" s="198"/>
      <c r="B504" s="199"/>
      <c r="C504" s="200"/>
      <c r="D504" s="201"/>
      <c r="E504" s="202"/>
      <c r="F504" s="133"/>
      <c r="G504" s="92"/>
      <c r="H504" s="92"/>
      <c r="I504" s="124"/>
      <c r="J504" s="131"/>
    </row>
    <row r="505" customFormat="false" ht="26.25" hidden="false" customHeight="true" outlineLevel="0" collapsed="false">
      <c r="A505" s="204" t="s">
        <v>700</v>
      </c>
      <c r="B505" s="205" t="s">
        <v>701</v>
      </c>
      <c r="C505" s="206" t="s">
        <v>39</v>
      </c>
      <c r="D505" s="207" t="n">
        <v>84.27</v>
      </c>
      <c r="E505" s="208" t="n">
        <v>2</v>
      </c>
      <c r="F505" s="209"/>
      <c r="G505" s="208" t="n">
        <v>2</v>
      </c>
      <c r="H505" s="47" t="n">
        <f aca="false">G505-E505</f>
        <v>0</v>
      </c>
      <c r="I505" s="48" t="n">
        <f aca="false">D505*H505</f>
        <v>0</v>
      </c>
      <c r="J505" s="121" t="n">
        <f aca="false">D505*G505</f>
        <v>168.54</v>
      </c>
    </row>
    <row r="506" customFormat="false" ht="26.25" hidden="false" customHeight="true" outlineLevel="0" collapsed="false">
      <c r="A506" s="204" t="s">
        <v>702</v>
      </c>
      <c r="B506" s="205" t="s">
        <v>703</v>
      </c>
      <c r="C506" s="206" t="s">
        <v>39</v>
      </c>
      <c r="D506" s="207" t="n">
        <v>140.37</v>
      </c>
      <c r="E506" s="208" t="n">
        <v>3</v>
      </c>
      <c r="F506" s="209"/>
      <c r="G506" s="208" t="n">
        <v>3</v>
      </c>
      <c r="H506" s="47" t="n">
        <f aca="false">G506-E506</f>
        <v>0</v>
      </c>
      <c r="I506" s="48" t="n">
        <f aca="false">D506*H506</f>
        <v>0</v>
      </c>
      <c r="J506" s="121" t="n">
        <f aca="false">D506*G506</f>
        <v>421.11</v>
      </c>
    </row>
    <row r="507" customFormat="false" ht="26.25" hidden="false" customHeight="true" outlineLevel="0" collapsed="false">
      <c r="A507" s="204" t="s">
        <v>704</v>
      </c>
      <c r="B507" s="205" t="s">
        <v>705</v>
      </c>
      <c r="C507" s="206" t="s">
        <v>39</v>
      </c>
      <c r="D507" s="207" t="n">
        <v>46.92</v>
      </c>
      <c r="E507" s="208" t="n">
        <v>14</v>
      </c>
      <c r="F507" s="209"/>
      <c r="G507" s="208" t="n">
        <v>11</v>
      </c>
      <c r="H507" s="47" t="n">
        <f aca="false">G507-E507</f>
        <v>-3</v>
      </c>
      <c r="I507" s="48" t="n">
        <f aca="false">D507*H507</f>
        <v>-140.76</v>
      </c>
      <c r="J507" s="121" t="n">
        <f aca="false">D507*G507</f>
        <v>516.12</v>
      </c>
    </row>
    <row r="508" customFormat="false" ht="26.25" hidden="false" customHeight="true" outlineLevel="0" collapsed="false">
      <c r="A508" s="204" t="s">
        <v>706</v>
      </c>
      <c r="B508" s="205" t="s">
        <v>707</v>
      </c>
      <c r="C508" s="206" t="s">
        <v>39</v>
      </c>
      <c r="D508" s="207" t="n">
        <v>46.92</v>
      </c>
      <c r="E508" s="208" t="n">
        <v>6</v>
      </c>
      <c r="F508" s="209"/>
      <c r="G508" s="208" t="n">
        <v>6</v>
      </c>
      <c r="H508" s="47" t="n">
        <f aca="false">G508-E508</f>
        <v>0</v>
      </c>
      <c r="I508" s="48" t="n">
        <f aca="false">D508*H508</f>
        <v>0</v>
      </c>
      <c r="J508" s="121" t="n">
        <f aca="false">D508*G508</f>
        <v>281.52</v>
      </c>
    </row>
    <row r="509" customFormat="false" ht="26.25" hidden="false" customHeight="true" outlineLevel="0" collapsed="false">
      <c r="A509" s="204" t="s">
        <v>708</v>
      </c>
      <c r="B509" s="205" t="s">
        <v>709</v>
      </c>
      <c r="C509" s="206" t="s">
        <v>39</v>
      </c>
      <c r="D509" s="207" t="n">
        <v>46.92</v>
      </c>
      <c r="E509" s="208" t="n">
        <v>8</v>
      </c>
      <c r="F509" s="209"/>
      <c r="G509" s="208" t="n">
        <v>11</v>
      </c>
      <c r="H509" s="47" t="n">
        <f aca="false">G509-E509</f>
        <v>3</v>
      </c>
      <c r="I509" s="48" t="n">
        <f aca="false">D509*H509</f>
        <v>140.76</v>
      </c>
      <c r="J509" s="121" t="n">
        <f aca="false">D509*G509</f>
        <v>516.12</v>
      </c>
    </row>
    <row r="510" customFormat="false" ht="26.25" hidden="false" customHeight="true" outlineLevel="0" collapsed="false">
      <c r="A510" s="204" t="s">
        <v>710</v>
      </c>
      <c r="B510" s="205" t="s">
        <v>711</v>
      </c>
      <c r="C510" s="206" t="s">
        <v>39</v>
      </c>
      <c r="D510" s="207" t="n">
        <v>105.12</v>
      </c>
      <c r="E510" s="208" t="n">
        <v>1</v>
      </c>
      <c r="F510" s="209"/>
      <c r="G510" s="208" t="n">
        <v>1</v>
      </c>
      <c r="H510" s="47" t="n">
        <f aca="false">G510-E510</f>
        <v>0</v>
      </c>
      <c r="I510" s="48" t="n">
        <f aca="false">D510*H510</f>
        <v>0</v>
      </c>
      <c r="J510" s="121" t="n">
        <f aca="false">D510*G510</f>
        <v>105.12</v>
      </c>
    </row>
    <row r="511" customFormat="false" ht="39" hidden="false" customHeight="true" outlineLevel="0" collapsed="false">
      <c r="A511" s="204" t="s">
        <v>712</v>
      </c>
      <c r="B511" s="205" t="s">
        <v>713</v>
      </c>
      <c r="C511" s="206" t="s">
        <v>39</v>
      </c>
      <c r="D511" s="207" t="n">
        <v>140.22</v>
      </c>
      <c r="E511" s="208" t="n">
        <v>2</v>
      </c>
      <c r="F511" s="209"/>
      <c r="G511" s="208" t="n">
        <v>2</v>
      </c>
      <c r="H511" s="47" t="n">
        <f aca="false">G511-E511</f>
        <v>0</v>
      </c>
      <c r="I511" s="48" t="n">
        <f aca="false">D511*H511</f>
        <v>0</v>
      </c>
      <c r="J511" s="121" t="n">
        <f aca="false">D511*G511</f>
        <v>280.44</v>
      </c>
    </row>
    <row r="512" customFormat="false" ht="39" hidden="false" customHeight="true" outlineLevel="0" collapsed="false">
      <c r="A512" s="204" t="s">
        <v>714</v>
      </c>
      <c r="B512" s="205" t="s">
        <v>715</v>
      </c>
      <c r="C512" s="206" t="s">
        <v>39</v>
      </c>
      <c r="D512" s="207" t="n">
        <v>140.22</v>
      </c>
      <c r="E512" s="208" t="n">
        <v>1</v>
      </c>
      <c r="F512" s="209"/>
      <c r="G512" s="208" t="n">
        <v>1</v>
      </c>
      <c r="H512" s="47" t="n">
        <f aca="false">G512-E512</f>
        <v>0</v>
      </c>
      <c r="I512" s="48" t="n">
        <f aca="false">D512*H512</f>
        <v>0</v>
      </c>
      <c r="J512" s="121" t="n">
        <f aca="false">D512*G512</f>
        <v>140.22</v>
      </c>
    </row>
    <row r="513" customFormat="false" ht="39" hidden="false" customHeight="true" outlineLevel="0" collapsed="false">
      <c r="A513" s="204" t="s">
        <v>716</v>
      </c>
      <c r="B513" s="205" t="s">
        <v>717</v>
      </c>
      <c r="C513" s="206" t="s">
        <v>39</v>
      </c>
      <c r="D513" s="207" t="n">
        <v>140.22</v>
      </c>
      <c r="E513" s="208" t="n">
        <v>2</v>
      </c>
      <c r="F513" s="209"/>
      <c r="G513" s="208" t="n">
        <v>2</v>
      </c>
      <c r="H513" s="47" t="n">
        <f aca="false">G513-E513</f>
        <v>0</v>
      </c>
      <c r="I513" s="48" t="n">
        <f aca="false">D513*H513</f>
        <v>0</v>
      </c>
      <c r="J513" s="121" t="n">
        <f aca="false">D513*G513</f>
        <v>280.44</v>
      </c>
    </row>
    <row r="514" customFormat="false" ht="26.25" hidden="false" customHeight="true" outlineLevel="0" collapsed="false">
      <c r="A514" s="204" t="s">
        <v>718</v>
      </c>
      <c r="B514" s="205" t="s">
        <v>719</v>
      </c>
      <c r="C514" s="206" t="s">
        <v>39</v>
      </c>
      <c r="D514" s="207" t="n">
        <v>63.78</v>
      </c>
      <c r="E514" s="208" t="n">
        <v>3</v>
      </c>
      <c r="F514" s="209"/>
      <c r="G514" s="208" t="n">
        <v>3</v>
      </c>
      <c r="H514" s="47" t="n">
        <f aca="false">G514-E514</f>
        <v>0</v>
      </c>
      <c r="I514" s="48" t="n">
        <f aca="false">D514*H514</f>
        <v>0</v>
      </c>
      <c r="J514" s="121" t="n">
        <f aca="false">D514*G514</f>
        <v>191.34</v>
      </c>
    </row>
    <row r="515" customFormat="false" ht="26.25" hidden="false" customHeight="true" outlineLevel="0" collapsed="false">
      <c r="A515" s="204" t="s">
        <v>720</v>
      </c>
      <c r="B515" s="205" t="s">
        <v>721</v>
      </c>
      <c r="C515" s="206" t="s">
        <v>39</v>
      </c>
      <c r="D515" s="207" t="n">
        <v>63.78</v>
      </c>
      <c r="E515" s="208" t="n">
        <v>3</v>
      </c>
      <c r="F515" s="209"/>
      <c r="G515" s="208" t="n">
        <v>3</v>
      </c>
      <c r="H515" s="47" t="n">
        <f aca="false">G515-E515</f>
        <v>0</v>
      </c>
      <c r="I515" s="48" t="n">
        <f aca="false">D515*H515</f>
        <v>0</v>
      </c>
      <c r="J515" s="121" t="n">
        <f aca="false">D515*G515</f>
        <v>191.34</v>
      </c>
    </row>
    <row r="516" customFormat="false" ht="26.25" hidden="false" customHeight="true" outlineLevel="0" collapsed="false">
      <c r="A516" s="204" t="s">
        <v>722</v>
      </c>
      <c r="B516" s="205" t="s">
        <v>723</v>
      </c>
      <c r="C516" s="206" t="s">
        <v>39</v>
      </c>
      <c r="D516" s="207" t="n">
        <v>63.78</v>
      </c>
      <c r="E516" s="208" t="n">
        <v>3</v>
      </c>
      <c r="F516" s="209"/>
      <c r="G516" s="208" t="n">
        <v>3</v>
      </c>
      <c r="H516" s="47" t="n">
        <f aca="false">G516-E516</f>
        <v>0</v>
      </c>
      <c r="I516" s="48" t="n">
        <f aca="false">D516*H516</f>
        <v>0</v>
      </c>
      <c r="J516" s="121" t="n">
        <f aca="false">D516*G516</f>
        <v>191.34</v>
      </c>
    </row>
    <row r="517" customFormat="false" ht="26.25" hidden="false" customHeight="true" outlineLevel="0" collapsed="false">
      <c r="A517" s="204" t="s">
        <v>724</v>
      </c>
      <c r="B517" s="205" t="s">
        <v>725</v>
      </c>
      <c r="C517" s="206" t="s">
        <v>39</v>
      </c>
      <c r="D517" s="207" t="n">
        <v>34.65</v>
      </c>
      <c r="E517" s="208" t="n">
        <v>8</v>
      </c>
      <c r="F517" s="209"/>
      <c r="G517" s="208" t="n">
        <v>8</v>
      </c>
      <c r="H517" s="47" t="n">
        <f aca="false">G517-E517</f>
        <v>0</v>
      </c>
      <c r="I517" s="48" t="n">
        <f aca="false">D517*H517</f>
        <v>0</v>
      </c>
      <c r="J517" s="121" t="n">
        <f aca="false">D517*G517</f>
        <v>277.2</v>
      </c>
    </row>
    <row r="518" customFormat="false" ht="26.25" hidden="false" customHeight="true" outlineLevel="0" collapsed="false">
      <c r="A518" s="204" t="s">
        <v>726</v>
      </c>
      <c r="B518" s="205" t="s">
        <v>727</v>
      </c>
      <c r="C518" s="206" t="s">
        <v>39</v>
      </c>
      <c r="D518" s="207" t="n">
        <v>34.65</v>
      </c>
      <c r="E518" s="208" t="n">
        <v>8</v>
      </c>
      <c r="F518" s="209"/>
      <c r="G518" s="208" t="n">
        <v>8</v>
      </c>
      <c r="H518" s="47" t="n">
        <f aca="false">G518-E518</f>
        <v>0</v>
      </c>
      <c r="I518" s="48" t="n">
        <f aca="false">D518*H518</f>
        <v>0</v>
      </c>
      <c r="J518" s="121" t="n">
        <f aca="false">D518*G518</f>
        <v>277.2</v>
      </c>
    </row>
    <row r="519" customFormat="false" ht="26.25" hidden="false" customHeight="true" outlineLevel="0" collapsed="false">
      <c r="A519" s="204" t="s">
        <v>728</v>
      </c>
      <c r="B519" s="205" t="s">
        <v>729</v>
      </c>
      <c r="C519" s="206" t="s">
        <v>39</v>
      </c>
      <c r="D519" s="207" t="n">
        <v>34.65</v>
      </c>
      <c r="E519" s="208" t="n">
        <v>12</v>
      </c>
      <c r="F519" s="209"/>
      <c r="G519" s="208" t="n">
        <v>12</v>
      </c>
      <c r="H519" s="47" t="n">
        <f aca="false">G519-E519</f>
        <v>0</v>
      </c>
      <c r="I519" s="48" t="n">
        <f aca="false">D519*H519</f>
        <v>0</v>
      </c>
      <c r="J519" s="121" t="n">
        <f aca="false">D519*G519</f>
        <v>415.8</v>
      </c>
    </row>
    <row r="520" customFormat="false" ht="26.25" hidden="false" customHeight="true" outlineLevel="0" collapsed="false">
      <c r="A520" s="204" t="s">
        <v>730</v>
      </c>
      <c r="B520" s="205" t="s">
        <v>731</v>
      </c>
      <c r="C520" s="206" t="s">
        <v>39</v>
      </c>
      <c r="D520" s="207" t="n">
        <v>44.33</v>
      </c>
      <c r="E520" s="208" t="n">
        <v>6</v>
      </c>
      <c r="F520" s="209"/>
      <c r="G520" s="208" t="n">
        <v>6</v>
      </c>
      <c r="H520" s="47" t="n">
        <f aca="false">G520-E520</f>
        <v>0</v>
      </c>
      <c r="I520" s="48" t="n">
        <f aca="false">D520*H520</f>
        <v>0</v>
      </c>
      <c r="J520" s="121" t="n">
        <f aca="false">D520*G520</f>
        <v>265.98</v>
      </c>
    </row>
    <row r="521" customFormat="false" ht="26.25" hidden="false" customHeight="true" outlineLevel="0" collapsed="false">
      <c r="A521" s="204" t="s">
        <v>732</v>
      </c>
      <c r="B521" s="205" t="s">
        <v>733</v>
      </c>
      <c r="C521" s="206" t="s">
        <v>39</v>
      </c>
      <c r="D521" s="207" t="n">
        <v>44.33</v>
      </c>
      <c r="E521" s="208" t="n">
        <v>6</v>
      </c>
      <c r="F521" s="209"/>
      <c r="G521" s="208" t="n">
        <v>6</v>
      </c>
      <c r="H521" s="47" t="n">
        <f aca="false">G521-E521</f>
        <v>0</v>
      </c>
      <c r="I521" s="48" t="n">
        <f aca="false">D521*H521</f>
        <v>0</v>
      </c>
      <c r="J521" s="121" t="n">
        <f aca="false">D521*G521</f>
        <v>265.98</v>
      </c>
    </row>
    <row r="522" customFormat="false" ht="26.25" hidden="false" customHeight="true" outlineLevel="0" collapsed="false">
      <c r="A522" s="204" t="s">
        <v>734</v>
      </c>
      <c r="B522" s="205" t="s">
        <v>735</v>
      </c>
      <c r="C522" s="206" t="s">
        <v>39</v>
      </c>
      <c r="D522" s="207" t="n">
        <v>63.73</v>
      </c>
      <c r="E522" s="208" t="n">
        <v>4</v>
      </c>
      <c r="F522" s="209"/>
      <c r="G522" s="208" t="n">
        <v>6</v>
      </c>
      <c r="H522" s="47" t="n">
        <f aca="false">G522-E522</f>
        <v>2</v>
      </c>
      <c r="I522" s="48" t="n">
        <f aca="false">D522*H522</f>
        <v>127.46</v>
      </c>
      <c r="J522" s="121" t="n">
        <f aca="false">D522*G522</f>
        <v>382.38</v>
      </c>
    </row>
    <row r="523" customFormat="false" ht="26.25" hidden="false" customHeight="true" outlineLevel="0" collapsed="false">
      <c r="A523" s="204" t="s">
        <v>736</v>
      </c>
      <c r="B523" s="205" t="s">
        <v>737</v>
      </c>
      <c r="C523" s="206" t="s">
        <v>39</v>
      </c>
      <c r="D523" s="207" t="n">
        <v>63.73</v>
      </c>
      <c r="E523" s="208" t="n">
        <v>21</v>
      </c>
      <c r="F523" s="209"/>
      <c r="G523" s="208" t="n">
        <v>21</v>
      </c>
      <c r="H523" s="47" t="n">
        <f aca="false">G523-E523</f>
        <v>0</v>
      </c>
      <c r="I523" s="48" t="n">
        <f aca="false">D523*H523</f>
        <v>0</v>
      </c>
      <c r="J523" s="121" t="n">
        <f aca="false">D523*G523</f>
        <v>1338.33</v>
      </c>
    </row>
    <row r="524" customFormat="false" ht="26.25" hidden="false" customHeight="true" outlineLevel="0" collapsed="false">
      <c r="A524" s="204" t="s">
        <v>738</v>
      </c>
      <c r="B524" s="205" t="s">
        <v>739</v>
      </c>
      <c r="C524" s="206" t="s">
        <v>39</v>
      </c>
      <c r="D524" s="207" t="n">
        <v>63.73</v>
      </c>
      <c r="E524" s="208" t="n">
        <v>10</v>
      </c>
      <c r="F524" s="209"/>
      <c r="G524" s="208" t="n">
        <v>10</v>
      </c>
      <c r="H524" s="47" t="n">
        <f aca="false">G524-E524</f>
        <v>0</v>
      </c>
      <c r="I524" s="48" t="n">
        <f aca="false">D524*H524</f>
        <v>0</v>
      </c>
      <c r="J524" s="121" t="n">
        <f aca="false">D524*G524</f>
        <v>637.3</v>
      </c>
    </row>
    <row r="525" customFormat="false" ht="26.25" hidden="false" customHeight="true" outlineLevel="0" collapsed="false">
      <c r="A525" s="204" t="s">
        <v>740</v>
      </c>
      <c r="B525" s="205" t="s">
        <v>741</v>
      </c>
      <c r="C525" s="206" t="s">
        <v>39</v>
      </c>
      <c r="D525" s="207" t="n">
        <v>63.73</v>
      </c>
      <c r="E525" s="208" t="n">
        <v>7</v>
      </c>
      <c r="F525" s="209"/>
      <c r="G525" s="208" t="n">
        <v>7</v>
      </c>
      <c r="H525" s="47" t="n">
        <f aca="false">G525-E525</f>
        <v>0</v>
      </c>
      <c r="I525" s="48" t="n">
        <f aca="false">D525*H525</f>
        <v>0</v>
      </c>
      <c r="J525" s="121" t="n">
        <f aca="false">D525*G525</f>
        <v>446.11</v>
      </c>
    </row>
    <row r="526" customFormat="false" ht="26.25" hidden="false" customHeight="true" outlineLevel="0" collapsed="false">
      <c r="A526" s="204" t="s">
        <v>742</v>
      </c>
      <c r="B526" s="205" t="s">
        <v>743</v>
      </c>
      <c r="C526" s="206" t="s">
        <v>39</v>
      </c>
      <c r="D526" s="207" t="n">
        <v>63.73</v>
      </c>
      <c r="E526" s="208" t="n">
        <v>3</v>
      </c>
      <c r="F526" s="209"/>
      <c r="G526" s="208" t="n">
        <v>3</v>
      </c>
      <c r="H526" s="47" t="n">
        <f aca="false">G526-E526</f>
        <v>0</v>
      </c>
      <c r="I526" s="48" t="n">
        <f aca="false">D526*H526</f>
        <v>0</v>
      </c>
      <c r="J526" s="121" t="n">
        <f aca="false">D526*G526</f>
        <v>191.19</v>
      </c>
    </row>
    <row r="527" customFormat="false" ht="26.25" hidden="false" customHeight="true" outlineLevel="0" collapsed="false">
      <c r="A527" s="204" t="s">
        <v>744</v>
      </c>
      <c r="B527" s="205" t="s">
        <v>745</v>
      </c>
      <c r="C527" s="206" t="s">
        <v>39</v>
      </c>
      <c r="D527" s="207" t="n">
        <v>44.33</v>
      </c>
      <c r="E527" s="208" t="n">
        <v>24</v>
      </c>
      <c r="F527" s="209"/>
      <c r="G527" s="208" t="n">
        <v>24</v>
      </c>
      <c r="H527" s="47" t="n">
        <f aca="false">G527-E527</f>
        <v>0</v>
      </c>
      <c r="I527" s="48" t="n">
        <f aca="false">D527*H527</f>
        <v>0</v>
      </c>
      <c r="J527" s="121" t="n">
        <f aca="false">D527*G527</f>
        <v>1063.92</v>
      </c>
    </row>
    <row r="528" customFormat="false" ht="17.25" hidden="false" customHeight="true" outlineLevel="0" collapsed="false">
      <c r="A528" s="198"/>
      <c r="B528" s="199"/>
      <c r="C528" s="200"/>
      <c r="D528" s="201"/>
      <c r="E528" s="202"/>
      <c r="F528" s="133"/>
      <c r="G528" s="92"/>
      <c r="H528" s="92" t="s">
        <v>5</v>
      </c>
      <c r="I528" s="124" t="n">
        <f aca="false">SUM(I505:I527)</f>
        <v>127.46</v>
      </c>
      <c r="J528" s="131" t="n">
        <f aca="false">SUM(J505:J527)</f>
        <v>8845.04</v>
      </c>
      <c r="K528" s="89" t="n">
        <f aca="false">I528</f>
        <v>127.46</v>
      </c>
      <c r="L528" s="89" t="n">
        <f aca="false">J528</f>
        <v>8845.04</v>
      </c>
    </row>
    <row r="529" customFormat="false" ht="17.25" hidden="false" customHeight="true" outlineLevel="0" collapsed="false">
      <c r="A529" s="198"/>
      <c r="B529" s="199"/>
      <c r="C529" s="200"/>
      <c r="D529" s="201"/>
      <c r="E529" s="202"/>
      <c r="F529" s="133"/>
      <c r="G529" s="92"/>
      <c r="H529" s="92"/>
      <c r="I529" s="124"/>
      <c r="J529" s="131"/>
    </row>
    <row r="530" customFormat="false" ht="17.25" hidden="false" customHeight="true" outlineLevel="0" collapsed="false">
      <c r="A530" s="198"/>
      <c r="B530" s="199"/>
      <c r="C530" s="200"/>
      <c r="D530" s="201"/>
      <c r="E530" s="202"/>
      <c r="F530" s="133"/>
      <c r="G530" s="210"/>
      <c r="H530" s="92"/>
      <c r="I530" s="124"/>
      <c r="J530" s="131" t="s">
        <v>746</v>
      </c>
      <c r="K530" s="89" t="n">
        <f aca="false">SUM(K3:K528)</f>
        <v>782.5</v>
      </c>
      <c r="L530" s="89" t="n">
        <f aca="false">SUM(L3:L528)</f>
        <v>175688.57</v>
      </c>
    </row>
    <row r="531" customFormat="false" ht="17.25" hidden="false" customHeight="true" outlineLevel="0" collapsed="false">
      <c r="A531" s="198"/>
      <c r="B531" s="199"/>
      <c r="C531" s="200"/>
      <c r="D531" s="201"/>
      <c r="E531" s="202"/>
      <c r="F531" s="133"/>
      <c r="G531" s="92"/>
      <c r="H531" s="92"/>
      <c r="I531" s="124"/>
      <c r="J531" s="131"/>
    </row>
    <row r="532" customFormat="false" ht="17.25" hidden="false" customHeight="true" outlineLevel="0" collapsed="false">
      <c r="A532" s="198"/>
      <c r="B532" s="211"/>
      <c r="C532" s="200"/>
      <c r="D532" s="201"/>
      <c r="E532" s="202"/>
      <c r="F532" s="133"/>
      <c r="G532" s="92"/>
      <c r="H532" s="92"/>
      <c r="I532" s="124"/>
      <c r="J532" s="131"/>
    </row>
    <row r="533" customFormat="false" ht="17.25" hidden="false" customHeight="true" outlineLevel="0" collapsed="false">
      <c r="A533" s="198"/>
      <c r="B533" s="199"/>
      <c r="C533" s="200"/>
      <c r="D533" s="201"/>
      <c r="E533" s="202"/>
      <c r="F533" s="133"/>
      <c r="G533" s="92"/>
      <c r="H533" s="92"/>
      <c r="I533" s="212" t="s">
        <v>7</v>
      </c>
      <c r="J533" s="131" t="s">
        <v>5</v>
      </c>
    </row>
    <row r="534" customFormat="false" ht="20.85" hidden="false" customHeight="false" outlineLevel="0" collapsed="false">
      <c r="A534" s="73"/>
      <c r="B534" s="213" t="s">
        <v>747</v>
      </c>
      <c r="C534" s="74"/>
      <c r="D534" s="75"/>
      <c r="E534" s="76"/>
      <c r="F534" s="133"/>
      <c r="G534" s="92"/>
      <c r="H534" s="92"/>
      <c r="I534" s="214" t="n">
        <f aca="false">K530</f>
        <v>782.5</v>
      </c>
      <c r="J534" s="131" t="n">
        <f aca="false">L530</f>
        <v>175688.57</v>
      </c>
    </row>
    <row r="535" customFormat="false" ht="18.75" hidden="false" customHeight="false" outlineLevel="0" collapsed="false">
      <c r="A535" s="73"/>
      <c r="B535" s="74" t="s">
        <v>748</v>
      </c>
      <c r="C535" s="74"/>
      <c r="D535" s="75"/>
      <c r="E535" s="76"/>
      <c r="F535" s="133"/>
      <c r="G535" s="92"/>
      <c r="H535" s="92"/>
      <c r="I535" s="87" t="n">
        <f aca="false">I315</f>
        <v>-120</v>
      </c>
      <c r="J535" s="131" t="n">
        <f aca="false">J315</f>
        <v>1634.3</v>
      </c>
    </row>
    <row r="536" customFormat="false" ht="17.25" hidden="false" customHeight="true" outlineLevel="0" collapsed="false">
      <c r="A536" s="198"/>
      <c r="B536" s="213" t="s">
        <v>5</v>
      </c>
      <c r="C536" s="200"/>
      <c r="D536" s="201"/>
      <c r="E536" s="202"/>
      <c r="F536" s="133"/>
      <c r="G536" s="92"/>
      <c r="H536" s="92"/>
      <c r="I536" s="214" t="n">
        <f aca="false">SUM(I534:I535)</f>
        <v>662.5</v>
      </c>
      <c r="J536" s="131" t="n">
        <f aca="false">SUM(J534:J535)</f>
        <v>177322.87</v>
      </c>
    </row>
    <row r="537" customFormat="false" ht="17.25" hidden="false" customHeight="true" outlineLevel="0" collapsed="false">
      <c r="A537" s="198"/>
      <c r="B537" s="211"/>
      <c r="C537" s="200"/>
      <c r="D537" s="201"/>
      <c r="E537" s="202"/>
      <c r="F537" s="133"/>
      <c r="G537" s="92"/>
      <c r="H537" s="92"/>
      <c r="I537" s="124"/>
      <c r="J537" s="131"/>
    </row>
  </sheetData>
  <mergeCells count="1">
    <mergeCell ref="A303:F303"/>
  </mergeCells>
  <printOptions headings="false" gridLines="false" gridLinesSet="true" horizontalCentered="false" verticalCentered="false"/>
  <pageMargins left="0" right="0" top="0.550694444444445" bottom="0.354166666666667" header="0.118055555555556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&amp;L&amp;"Arial,Bold"DATE: 30/06/2025&amp;C&amp;"Arial,Bold" PHARMA STOCKTAKE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2002-01-23T09:53:44Z</dcterms:created>
  <dc:creator>Ted Mills</dc:creator>
  <dc:description/>
  <dc:language>en-US</dc:language>
  <cp:lastModifiedBy>Janeen Mills</cp:lastModifiedBy>
  <cp:lastPrinted>2026-06-29T22:30:52Z</cp:lastPrinted>
  <dcterms:modified xsi:type="dcterms:W3CDTF">2026-07-09T11:42:44Z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